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Summary" sheetId="2" state="visible" r:id="rId4"/>
    <sheet name="Inputs" sheetId="3" state="visible" r:id="rId5"/>
    <sheet name="Data" sheetId="4" state="visible" r:id="rId6"/>
    <sheet name="Forecast" sheetId="5" state="visible" r:id="rId7"/>
    <sheet name="Pools" sheetId="6" state="visible" r:id="rId8"/>
    <sheet name="Scorecard" sheetId="7" state="visible" r:id="rId9"/>
    <sheet name="Cases" sheetId="8" state="visible" r:id="rId10"/>
    <sheet name="Sensitivity" sheetId="9" state="visible" r:id="rId11"/>
    <sheet name="Robustness" sheetId="10" state="visible" r:id="rId12"/>
    <sheet name="Sources" sheetId="11" state="visible" r:id="rId13"/>
    <sheet name="PyRef" sheetId="12" state="visible" r:id="rId14"/>
    <sheet name="Checks"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<sst xmlns="http://schemas.openxmlformats.org/spreadsheetml/2006/main" count="1368" uniqueCount="566">
  <si>
    <t xml:space="preserve">Africa's mobile-money frontier: market-selection model</t>
  </si>
  <si>
    <t xml:space="preserve">Question: which two sub-Saharan markets should a Kenya-based mobile-money operator enter by 2030?</t>
  </si>
  <si>
    <t xml:space="preserve">How to use</t>
  </si>
  <si>
    <t xml:space="preserve">1</t>
  </si>
  <si>
    <t xml:space="preserve">Change blue cells on Inputs (assumptions) or Data (market facts). Everything else is a formula and recalculates.</t>
  </si>
  <si>
    <t xml:space="preserve">2</t>
  </si>
  <si>
    <t xml:space="preserve">Read Summary for the ranking, Cases for the NPV by market and scenario, Sensitivity for what moves the answer, Checks for integrity.</t>
  </si>
  <si>
    <t xml:space="preserve">3</t>
  </si>
  <si>
    <t xml:space="preserve">Robustness and PyRef hold results estimated in Python (analysis/model.py). They are static. Re-run the script to refresh them.</t>
  </si>
  <si>
    <t xml:space="preserve">Sheets</t>
  </si>
  <si>
    <t xml:space="preserve">Summary</t>
  </si>
  <si>
    <t xml:space="preserve">Ranking of candidate markets with attractiveness, ease, quadrant, pools and NPV.</t>
  </si>
  <si>
    <t xml:space="preserve">Inputs</t>
  </si>
  <si>
    <t xml:space="preserve">All assumptions with a tag and a source or rationale. Includes calibration of revenue per user to company disclosures.</t>
  </si>
  <si>
    <t xml:space="preserve">Data</t>
  </si>
  <si>
    <t xml:space="preserve">Findex 2024 and World Development Indicators for 34 markets, plus judgement inputs (proximity) and the World Bank fragility score.</t>
  </si>
  <si>
    <t xml:space="preserve">Forecast</t>
  </si>
  <si>
    <t xml:space="preserve">Adoption to 2030 in three scenarios using a logistic curve.</t>
  </si>
  <si>
    <t xml:space="preserve">Pools</t>
  </si>
  <si>
    <t xml:space="preserve">Users x revenue per user, winnable revenue, pool growth, and cost scale.</t>
  </si>
  <si>
    <t xml:space="preserve">Scorecard</t>
  </si>
  <si>
    <t xml:space="preserve">Min-max scoring, attractiveness and ease, priority = sqrt(A x E), rank, discount rate, quadrant.</t>
  </si>
  <si>
    <t xml:space="preserve">Cases</t>
  </si>
  <si>
    <t xml:space="preserve">Year-by-year business case for the top five markets in three scenarios; break-even share.</t>
  </si>
  <si>
    <t xml:space="preserve">Sensitivity</t>
  </si>
  <si>
    <t xml:space="preserve">NPV grids for the top three markets: share x revenue per user, and margin x fixed cost.</t>
  </si>
  <si>
    <t xml:space="preserve">Colour code</t>
  </si>
  <si>
    <t xml:space="preserve">Blue = input. Black = formula. Green = link to another sheet. Yellow fill = key assumption or key output.</t>
  </si>
  <si>
    <t xml:space="preserve">Tags</t>
  </si>
  <si>
    <t xml:space="preserve">[S] sourced, [A] analyst assumption, [E] estimated in Python, [S/A] sourced with analyst adjustment.</t>
  </si>
  <si>
    <t xml:space="preserve">Not a valuation</t>
  </si>
  <si>
    <t xml:space="preserve">The business case is an entry screen for choosing between markets. It ignores tax, working capital and detailed currency paths.</t>
  </si>
  <si>
    <t xml:space="preserve">Where should a Kenyan mobile-money operator expand next? Summary of results</t>
  </si>
  <si>
    <t xml:space="preserve">Everything here is a live link into the model. Change an input on the Inputs sheet and this page updates.</t>
  </si>
  <si>
    <t xml:space="preserve">Model integrity:</t>
  </si>
  <si>
    <t xml:space="preserve">Rank</t>
  </si>
  <si>
    <t xml:space="preserve">Market</t>
  </si>
  <si>
    <t xml:space="preserve">ISO3</t>
  </si>
  <si>
    <t xml:space="preserve">Attractiveness (0-100)</t>
  </si>
  <si>
    <t xml:space="preserve">Ease of entry (0-100)</t>
  </si>
  <si>
    <t xml:space="preserve">Priority score</t>
  </si>
  <si>
    <t xml:space="preserve">Quadrant</t>
  </si>
  <si>
    <t xml:space="preserve">Adoption 2024</t>
  </si>
  <si>
    <t xml:space="preserve">Adoption 2030 Base</t>
  </si>
  <si>
    <t xml:space="preserve">Revenue pool 2030 Base ($m)</t>
  </si>
  <si>
    <t xml:space="preserve">Winnable revenue 2030 Base ($m)</t>
  </si>
  <si>
    <t xml:space="preserve">Discount rate</t>
  </si>
  <si>
    <t xml:space="preserve">NPV Base ($m, top five)</t>
  </si>
  <si>
    <t xml:space="preserve">Home market for reference:</t>
  </si>
  <si>
    <t xml:space="preserve">Kenya mobile money adoption 2024</t>
  </si>
  <si>
    <t xml:space="preserve">Candidate markets scored (34 markets with 2024 data; home market and markets under the size screen excluded)</t>
  </si>
  <si>
    <t xml:space="preserve">Inputs and assumptions</t>
  </si>
  <si>
    <t xml:space="preserve">Blue = input you can change. Tags: [S] sourced, [A] analyst assumption, [E] estimated in Python, [S/A] sourced with analyst adjustment.</t>
  </si>
  <si>
    <t xml:space="preserve">Input</t>
  </si>
  <si>
    <t xml:space="preserve">Unit</t>
  </si>
  <si>
    <t xml:space="preserve">Low</t>
  </si>
  <si>
    <t xml:space="preserve">Base</t>
  </si>
  <si>
    <t xml:space="preserve">High</t>
  </si>
  <si>
    <t xml:space="preserve">Tag</t>
  </si>
  <si>
    <t xml:space="preserve">Source or rationale</t>
  </si>
  <si>
    <t xml:space="preserve">1. Timeline and forecast</t>
  </si>
  <si>
    <t xml:space="preserve">Base year (latest Findex survey)</t>
  </si>
  <si>
    <t xml:space="preserve">year</t>
  </si>
  <si>
    <t xml:space="preserve">[S]</t>
  </si>
  <si>
    <t xml:space="preserve">S1: Global Findex 2025 reports the 2024 survey round.</t>
  </si>
  <si>
    <t xml:space="preserve">Target year</t>
  </si>
  <si>
    <t xml:space="preserve">[A]</t>
  </si>
  <si>
    <t xml:space="preserve">Planning horizon for the expansion decision.</t>
  </si>
  <si>
    <t xml:space="preserve">Years from base to target</t>
  </si>
  <si>
    <t xml:space="preserve">years</t>
  </si>
  <si>
    <t xml:space="preserve">calc</t>
  </si>
  <si>
    <t xml:space="preserve">Adoption ceiling in forecasts</t>
  </si>
  <si>
    <t xml:space="preserve">% of adults</t>
  </si>
  <si>
    <t xml:space="preserve">Just above Kenya's 87.5% (S1). Keeps the logistic curve from passing near-universal use.</t>
  </si>
  <si>
    <t xml:space="preserve">Minimum market size to be a candidate</t>
  </si>
  <si>
    <t xml:space="preserve">adults</t>
  </si>
  <si>
    <t xml:space="preserve">Below this, a regional platform cannot cover its fixed costs (see Pools column V).</t>
  </si>
  <si>
    <t xml:space="preserve">Pooled growth of logit(adoption)</t>
  </si>
  <si>
    <t xml:space="preserve">per year</t>
  </si>
  <si>
    <t xml:space="preserve">[E]</t>
  </si>
  <si>
    <t xml:space="preserve">Median of country trends 2014-2024 (analysis/model.py). Back-test: beats country-specific trends (Robustness sheet).</t>
  </si>
  <si>
    <t xml:space="preserve">Weight on a country's own trend</t>
  </si>
  <si>
    <t xml:space="preserve">0 to 1</t>
  </si>
  <si>
    <t xml:space="preserve">Chosen by back-test: 0 gave the lowest 2024 forecast error. Raise it to give each country its own growth rate.</t>
  </si>
  <si>
    <t xml:space="preserve">Floor on growth</t>
  </si>
  <si>
    <t xml:space="preserve">Cap on growth</t>
  </si>
  <si>
    <t xml:space="preserve">2. Scenarios</t>
  </si>
  <si>
    <t xml:space="preserve">Growth multiplier on adoption trend</t>
  </si>
  <si>
    <t xml:space="preserve">x</t>
  </si>
  <si>
    <t xml:space="preserve">Low halves the trend; High raises it by half. Back-test showed the Base trend over-predicted 2024 by 2.8 points on average.</t>
  </si>
  <si>
    <t xml:space="preserve">Revenue per active user in the reference market (Kenya income, mobile-led)</t>
  </si>
  <si>
    <t xml:space="preserve">USD per year</t>
  </si>
  <si>
    <t xml:space="preserve">[S/A]</t>
  </si>
  <si>
    <t xml:space="preserve">S4: Airtel Money East Africa revenue per customer about $24.7. S3: M-Pesa about $32 per active user. Low = price compression; Airtel Money Nigeria is only about $3.3 (S4).</t>
  </si>
  <si>
    <t xml:space="preserve">Operator's share of NEW users by 2030</t>
  </si>
  <si>
    <t xml:space="preserve">%</t>
  </si>
  <si>
    <t xml:space="preserve">What a well-funded challenger wins of adults who start using mobile money after 2024. Tested through the break-even share.</t>
  </si>
  <si>
    <t xml:space="preserve">Operator's share of EXISTING users</t>
  </si>
  <si>
    <t xml:space="preserve">Switching or multi-homing by people who already use mobile money.</t>
  </si>
  <si>
    <t xml:space="preserve">Scenario weight for expected NPV</t>
  </si>
  <si>
    <t xml:space="preserve">Judgement weights; the Low and High cases are symmetric around Base.</t>
  </si>
  <si>
    <t xml:space="preserve">3. Revenue per user by market</t>
  </si>
  <si>
    <t xml:space="preserve">Income elasticity of revenue per user</t>
  </si>
  <si>
    <t xml:space="preserve">Revenue per user rises less than proportionally with income (Francophone Africa earns more per customer than its income implies: S4).</t>
  </si>
  <si>
    <t xml:space="preserve">Income factor floor</t>
  </si>
  <si>
    <t xml:space="preserve">Income factor cap</t>
  </si>
  <si>
    <t xml:space="preserve">Elasticity to mobile-led share (mobile money / any account)</t>
  </si>
  <si>
    <t xml:space="preserve">Bank-led markets earn far less per mobile money customer: Airtel Money Nigeria about $3.3 against $24.7 in East Africa (S4).</t>
  </si>
  <si>
    <t xml:space="preserve">Structure factor floor</t>
  </si>
  <si>
    <t xml:space="preserve">Structure factor cap</t>
  </si>
  <si>
    <t xml:space="preserve">4. Business case for the entrant (USD millions unless stated)</t>
  </si>
  <si>
    <t xml:space="preserve">Contribution margin after agent commissions and variable cost</t>
  </si>
  <si>
    <t xml:space="preserve">% of revenue</t>
  </si>
  <si>
    <t xml:space="preserve">Mobile money is high-margin once agent commissions are paid; tested in Sensitivity.</t>
  </si>
  <si>
    <t xml:space="preserve">Fixed operating cost per year (reference-size market)</t>
  </si>
  <si>
    <t xml:space="preserve">$m</t>
  </si>
  <si>
    <t xml:space="preserve">Team, compliance, technology and brand. Scaled by market size (below).</t>
  </si>
  <si>
    <t xml:space="preserve">Acquisition cost per new operator user</t>
  </si>
  <si>
    <t xml:space="preserve">$</t>
  </si>
  <si>
    <t xml:space="preserve">Agent onboarding and promotions.</t>
  </si>
  <si>
    <t xml:space="preserve">Launch investment (licence, platform, agent seeding), reference-size market</t>
  </si>
  <si>
    <t xml:space="preserve">Spent in 2026, one year before launch. Assumes a build or partnership entry, not an acquisition.</t>
  </si>
  <si>
    <t xml:space="preserve">Terminal value multiple on 2035 EBITDA</t>
  </si>
  <si>
    <t xml:space="preserve">Reference market size for cost scaling</t>
  </si>
  <si>
    <t xml:space="preserve">Cost-scaling exponent</t>
  </si>
  <si>
    <t xml:space="preserve">Costs rise with market size, but less than proportionally.</t>
  </si>
  <si>
    <t xml:space="preserve">Cost scale floor</t>
  </si>
  <si>
    <t xml:space="preserve">Cost scale cap</t>
  </si>
  <si>
    <t xml:space="preserve">Discount rate, base (USD)</t>
  </si>
  <si>
    <t xml:space="preserve">Premium for weak macro stability (at score 0)</t>
  </si>
  <si>
    <t xml:space="preserve">Premium for fragility (at score 0)</t>
  </si>
  <si>
    <t xml:space="preserve">Scaled by the World Bank FY26 fragile-situations flag (S5).</t>
  </si>
  <si>
    <t xml:space="preserve">Share of target users reached, 2027 (launch year)</t>
  </si>
  <si>
    <t xml:space="preserve">Ramp 2028</t>
  </si>
  <si>
    <t xml:space="preserve">Ramp 2029</t>
  </si>
  <si>
    <t xml:space="preserve">Ramp 2030 and after</t>
  </si>
  <si>
    <t xml:space="preserve">5. Scoring weights (each block sums to 100%)</t>
  </si>
  <si>
    <t xml:space="preserve">Attractiveness: Winnable revenue in 2030 (log scale)</t>
  </si>
  <si>
    <t xml:space="preserve">weight</t>
  </si>
  <si>
    <t xml:space="preserve">Attractiveness: Growth of the revenue pool 2024 to 2030</t>
  </si>
  <si>
    <t xml:space="preserve">Attractiveness: Merchant-payment gap to Kenya</t>
  </si>
  <si>
    <t xml:space="preserve">Attractiveness: Remittance intensity (share of GDP)</t>
  </si>
  <si>
    <t xml:space="preserve">Attractiveness: Inclusion gap (gender and income)</t>
  </si>
  <si>
    <t xml:space="preserve">Attractiveness weights total</t>
  </si>
  <si>
    <t xml:space="preserve">check</t>
  </si>
  <si>
    <t xml:space="preserve">Ease: Digital readiness (phones, internet, electricity, urban)</t>
  </si>
  <si>
    <t xml:space="preserve">Ease: Macro stability (inflation, currency, growth)</t>
  </si>
  <si>
    <t xml:space="preserve">Ease: Mobile-led market (mobile money share of accounts)</t>
  </si>
  <si>
    <t xml:space="preserve">Ease: Proximity to Kenya (EAC and corridor markets)</t>
  </si>
  <si>
    <t xml:space="preserve">Ease: Momentum (adoption gain 2017 to 2024)</t>
  </si>
  <si>
    <t xml:space="preserve">Ease: Institutional stability (World Bank FY26 fragile-situations list)</t>
  </si>
  <si>
    <t xml:space="preserve">Ease weights total</t>
  </si>
  <si>
    <t xml:space="preserve">Cap on mobile subscriptions per 100 people</t>
  </si>
  <si>
    <t xml:space="preserve">per 100</t>
  </si>
  <si>
    <t xml:space="preserve">Cap on remittances (% of GDP)</t>
  </si>
  <si>
    <t xml:space="preserve">Cap on inflation (average 2022 to 2024)</t>
  </si>
  <si>
    <t xml:space="preserve">Cap on currency depreciation (average 2022 to 2024)</t>
  </si>
  <si>
    <t xml:space="preserve">% a year</t>
  </si>
  <si>
    <t xml:space="preserve">Floor on currency depreciation</t>
  </si>
  <si>
    <t xml:space="preserve">6. Home-market anchors (read from Data)</t>
  </si>
  <si>
    <t xml:space="preserve">Kenya GDP per capita, PPP (2021 intl $)</t>
  </si>
  <si>
    <t xml:space="preserve">Kenya mobile-led share</t>
  </si>
  <si>
    <t xml:space="preserve">ratio</t>
  </si>
  <si>
    <t xml:space="preserve">Kenya merchant-payment share of adults</t>
  </si>
  <si>
    <t xml:space="preserve">7. Calibration of revenue per user (sourced company figures)</t>
  </si>
  <si>
    <t xml:space="preserve">Safaricom M-Pesa revenue, FY to March 2026</t>
  </si>
  <si>
    <t xml:space="preserve">KES bn</t>
  </si>
  <si>
    <t xml:space="preserve">S3: Safaricom FY2026 results as reported by HapaKenya.</t>
  </si>
  <si>
    <t xml:space="preserve">Safaricom M-Pesa active customers (group)</t>
  </si>
  <si>
    <t xml:space="preserve">million</t>
  </si>
  <si>
    <t xml:space="preserve">S3. Definition (monthly or 30-day) not stated; group figure.</t>
  </si>
  <si>
    <t xml:space="preserve">KES per USD (WDI 2024)</t>
  </si>
  <si>
    <t xml:space="preserve">KES</t>
  </si>
  <si>
    <t xml:space="preserve">S2: WDI PA.NUS.FCRF for Kenya, 2024 (approximate; used only for this calibration).</t>
  </si>
  <si>
    <t xml:space="preserve">M-Pesa revenue per active customer</t>
  </si>
  <si>
    <t xml:space="preserve">Airtel Money East Africa revenue, FY to March 2026</t>
  </si>
  <si>
    <t xml:space="preserve">S4: Airtel Africa FY2026 final results.</t>
  </si>
  <si>
    <t xml:space="preserve">Airtel Money East Africa customers</t>
  </si>
  <si>
    <t xml:space="preserve">S4</t>
  </si>
  <si>
    <t xml:space="preserve">Airtel Money East Africa revenue per customer</t>
  </si>
  <si>
    <t xml:space="preserve">Airtel Money Nigeria revenue</t>
  </si>
  <si>
    <t xml:space="preserve">Airtel Money Nigeria customers</t>
  </si>
  <si>
    <t xml:space="preserve">Airtel Money Nigeria revenue per customer</t>
  </si>
  <si>
    <t xml:space="preserve">Market data: 34 sub-Saharan African markets with Global Findex 2024 results</t>
  </si>
  <si>
    <t xml:space="preserve">Sources: S1 Global Findex 2025 (survey 2024); S2 World Development Indicators (updated 8 Oct 2026); S5 World Bank FY26 fragile-situations list. Blank = not available.</t>
  </si>
  <si>
    <t xml:space="preserve">Findex (S1)</t>
  </si>
  <si>
    <t xml:space="preserve">WDI (S2)</t>
  </si>
  <si>
    <t xml:space="preserve">Findex segments (S1)</t>
  </si>
  <si>
    <t xml:space="preserve">Judgement / World Bank (S5)</t>
  </si>
  <si>
    <t xml:space="preserve">Country</t>
  </si>
  <si>
    <t xml:space="preserve">Income group (World Bank)</t>
  </si>
  <si>
    <t xml:space="preserve">Adults 2024</t>
  </si>
  <si>
    <t xml:space="preserve">Mobile money account 2024</t>
  </si>
  <si>
    <t xml:space="preserve">Any account 2024</t>
  </si>
  <si>
    <t xml:space="preserve">Financial-institution account 2024</t>
  </si>
  <si>
    <t xml:space="preserve">Digital merchant payment 2024</t>
  </si>
  <si>
    <t xml:space="preserve">Mobile money account 2017</t>
  </si>
  <si>
    <t xml:space="preserve">GDP per capita, PPP (2021 intl $)</t>
  </si>
  <si>
    <t xml:space="preserve">Urban population %</t>
  </si>
  <si>
    <t xml:space="preserve">Mobile subscriptions per 100</t>
  </si>
  <si>
    <t xml:space="preserve">Internet users %</t>
  </si>
  <si>
    <t xml:space="preserve">Electricity access %</t>
  </si>
  <si>
    <t xml:space="preserve">Remittances % of GDP</t>
  </si>
  <si>
    <t xml:space="preserve">Population growth % a year</t>
  </si>
  <si>
    <t xml:space="preserve">Inflation, average 2022-24 %</t>
  </si>
  <si>
    <t xml:space="preserve">Currency depreciation, average 2022-24 % a year</t>
  </si>
  <si>
    <t xml:space="preserve">GDP growth, average 2022-24 %</t>
  </si>
  <si>
    <t xml:space="preserve">Gender gap in mobile money, pp (men minus women)</t>
  </si>
  <si>
    <t xml:space="preserve">Income gap, pp (richest 60% minus poorest 40%)</t>
  </si>
  <si>
    <t xml:space="preserve">Rural gap, pp (urban minus rural)</t>
  </si>
  <si>
    <t xml:space="preserve">Proximity to Kenya (0-100) [A]</t>
  </si>
  <si>
    <t xml:space="preserve">Institutional stability (0-100) [S]</t>
  </si>
  <si>
    <t xml:space="preserve">Own-trend growth of logit(adoption) per year</t>
  </si>
  <si>
    <t xml:space="preserve">Home market</t>
  </si>
  <si>
    <t xml:space="preserve">Meets size screen</t>
  </si>
  <si>
    <t xml:space="preserve">Candidate</t>
  </si>
  <si>
    <t xml:space="preserve">Benin</t>
  </si>
  <si>
    <t xml:space="preserve">BEN</t>
  </si>
  <si>
    <t xml:space="preserve">Lower middle income</t>
  </si>
  <si>
    <t xml:space="preserve">Botswana</t>
  </si>
  <si>
    <t xml:space="preserve">BWA</t>
  </si>
  <si>
    <t xml:space="preserve">Upper middle income</t>
  </si>
  <si>
    <t xml:space="preserve">Burkina Faso</t>
  </si>
  <si>
    <t xml:space="preserve">BFA</t>
  </si>
  <si>
    <t xml:space="preserve">Low income</t>
  </si>
  <si>
    <t xml:space="preserve">Cameroon</t>
  </si>
  <si>
    <t xml:space="preserve">CMR</t>
  </si>
  <si>
    <t xml:space="preserve">Chad</t>
  </si>
  <si>
    <t xml:space="preserve">TCD</t>
  </si>
  <si>
    <t xml:space="preserve">Comoros</t>
  </si>
  <si>
    <t xml:space="preserve">COM</t>
  </si>
  <si>
    <t xml:space="preserve">Congo, Dem. Rep.</t>
  </si>
  <si>
    <t xml:space="preserve">COD</t>
  </si>
  <si>
    <t xml:space="preserve">Congo, Rep.</t>
  </si>
  <si>
    <t xml:space="preserve">COG</t>
  </si>
  <si>
    <t xml:space="preserve">Cote d'Ivoire</t>
  </si>
  <si>
    <t xml:space="preserve">CIV</t>
  </si>
  <si>
    <t xml:space="preserve">Eswatini</t>
  </si>
  <si>
    <t xml:space="preserve">SWZ</t>
  </si>
  <si>
    <t xml:space="preserve">Ethiopia</t>
  </si>
  <si>
    <t xml:space="preserve">ETH</t>
  </si>
  <si>
    <t xml:space="preserve">Gabon</t>
  </si>
  <si>
    <t xml:space="preserve">GAB</t>
  </si>
  <si>
    <t xml:space="preserve">Gambia, The</t>
  </si>
  <si>
    <t xml:space="preserve">GMB</t>
  </si>
  <si>
    <t xml:space="preserve">Ghana</t>
  </si>
  <si>
    <t xml:space="preserve">GHA</t>
  </si>
  <si>
    <t xml:space="preserve">Guinea</t>
  </si>
  <si>
    <t xml:space="preserve">GIN</t>
  </si>
  <si>
    <t xml:space="preserve">Kenya</t>
  </si>
  <si>
    <t xml:space="preserve">KEN</t>
  </si>
  <si>
    <t xml:space="preserve">Lesotho</t>
  </si>
  <si>
    <t xml:space="preserve">LSO</t>
  </si>
  <si>
    <t xml:space="preserve">Liberia</t>
  </si>
  <si>
    <t xml:space="preserve">LBR</t>
  </si>
  <si>
    <t xml:space="preserve">Madagascar</t>
  </si>
  <si>
    <t xml:space="preserve">MDG</t>
  </si>
  <si>
    <t xml:space="preserve">Malawi</t>
  </si>
  <si>
    <t xml:space="preserve">MWI</t>
  </si>
  <si>
    <t xml:space="preserve">Mali</t>
  </si>
  <si>
    <t xml:space="preserve">MLI</t>
  </si>
  <si>
    <t xml:space="preserve">Mauritius</t>
  </si>
  <si>
    <t xml:space="preserve">MUS</t>
  </si>
  <si>
    <t xml:space="preserve">Mozambique</t>
  </si>
  <si>
    <t xml:space="preserve">MOZ</t>
  </si>
  <si>
    <t xml:space="preserve">Namibia</t>
  </si>
  <si>
    <t xml:space="preserve">NAM</t>
  </si>
  <si>
    <t xml:space="preserve">Niger</t>
  </si>
  <si>
    <t xml:space="preserve">NER</t>
  </si>
  <si>
    <t xml:space="preserve">Nigeria</t>
  </si>
  <si>
    <t xml:space="preserve">NGA</t>
  </si>
  <si>
    <t xml:space="preserve">Senegal</t>
  </si>
  <si>
    <t xml:space="preserve">SEN</t>
  </si>
  <si>
    <t xml:space="preserve">Sierra Leone</t>
  </si>
  <si>
    <t xml:space="preserve">SLE</t>
  </si>
  <si>
    <t xml:space="preserve">South Africa</t>
  </si>
  <si>
    <t xml:space="preserve">ZAF</t>
  </si>
  <si>
    <t xml:space="preserve">Tanzania</t>
  </si>
  <si>
    <t xml:space="preserve">TZA</t>
  </si>
  <si>
    <t xml:space="preserve">Togo</t>
  </si>
  <si>
    <t xml:space="preserve">TGO</t>
  </si>
  <si>
    <t xml:space="preserve">Uganda</t>
  </si>
  <si>
    <t xml:space="preserve">UGA</t>
  </si>
  <si>
    <t xml:space="preserve">Zambia</t>
  </si>
  <si>
    <t xml:space="preserve">ZMB</t>
  </si>
  <si>
    <t xml:space="preserve">Zimbabwe</t>
  </si>
  <si>
    <t xml:space="preserve">ZWE</t>
  </si>
  <si>
    <t xml:space="preserve">Adoption forecast to 2030</t>
  </si>
  <si>
    <t xml:space="preserve">Logistic diffusion: logit(adoption) rises by a common yearly growth rate (Inputs), scaled by the scenario multiplier, capped at the ceiling.</t>
  </si>
  <si>
    <t xml:space="preserve">Mobile money 2024</t>
  </si>
  <si>
    <t xml:space="preserve">logit(adoption 2024)</t>
  </si>
  <si>
    <t xml:space="preserve">Growth of logit per year</t>
  </si>
  <si>
    <t xml:space="preserve">Adults 2030</t>
  </si>
  <si>
    <t xml:space="preserve">Users at 2024 penetration, 2030</t>
  </si>
  <si>
    <t xml:space="preserve">Adoption 2030 Low</t>
  </si>
  <si>
    <t xml:space="preserve">Adoption 2030 High</t>
  </si>
  <si>
    <t xml:space="preserve">Users 2030 Low</t>
  </si>
  <si>
    <t xml:space="preserve">Users 2030 Base</t>
  </si>
  <si>
    <t xml:space="preserve">Users 2030 High</t>
  </si>
  <si>
    <t xml:space="preserve">New users vs 2024 penetration, Low</t>
  </si>
  <si>
    <t xml:space="preserve">New users Base</t>
  </si>
  <si>
    <t xml:space="preserve">New users High</t>
  </si>
  <si>
    <t xml:space="preserve">Revenue pools and the winnable share, 2030 ($m)</t>
  </si>
  <si>
    <t xml:space="preserve">Pool = users x revenue per user. Winnable = the operator's share of existing users plus its share of new users.</t>
  </si>
  <si>
    <t xml:space="preserve">Income factor</t>
  </si>
  <si>
    <t xml:space="preserve">Mobile-led share</t>
  </si>
  <si>
    <t xml:space="preserve">Structure factor</t>
  </si>
  <si>
    <t xml:space="preserve">Cost scale factor</t>
  </si>
  <si>
    <t xml:space="preserve">Revenue per user Low ($)</t>
  </si>
  <si>
    <t xml:space="preserve">Revenue per user Base ($)</t>
  </si>
  <si>
    <t xml:space="preserve">Revenue per user High ($)</t>
  </si>
  <si>
    <t xml:space="preserve">Pool 2030 Low ($m)</t>
  </si>
  <si>
    <t xml:space="preserve">Pool 2030 Base ($m)</t>
  </si>
  <si>
    <t xml:space="preserve">Pool 2030 High ($m)</t>
  </si>
  <si>
    <t xml:space="preserve">Winnable users Low</t>
  </si>
  <si>
    <t xml:space="preserve">Winnable users Base</t>
  </si>
  <si>
    <t xml:space="preserve">Winnable users High</t>
  </si>
  <si>
    <t xml:space="preserve">Winnable revenue Low ($m)</t>
  </si>
  <si>
    <t xml:space="preserve">Winnable revenue Base ($m)</t>
  </si>
  <si>
    <t xml:space="preserve">Winnable revenue High ($m)</t>
  </si>
  <si>
    <t xml:space="preserve">Pool 2024 at Base revenue per user ($m)</t>
  </si>
  <si>
    <t xml:space="preserve">Pool growth per year 2024-30</t>
  </si>
  <si>
    <t xml:space="preserve">Contribution cover of fixed cost (Base)</t>
  </si>
  <si>
    <t xml:space="preserve">Scorecard: attractiveness x ease of entry</t>
  </si>
  <si>
    <t xml:space="preserve">Scores run 0-100 across candidate markets only (min-max). Priority = square root of attractiveness x ease, which penalises a weak side.</t>
  </si>
  <si>
    <t xml:space="preserve">Size: ln(winnable revenue 2030)</t>
  </si>
  <si>
    <t xml:space="preserve">Pool growth</t>
  </si>
  <si>
    <t xml:space="preserve">Merchant gap to Kenya (pp)</t>
  </si>
  <si>
    <t xml:space="preserve">Inclusion gap (pp)</t>
  </si>
  <si>
    <t xml:space="preserve">Remittances % GDP (capped)</t>
  </si>
  <si>
    <t xml:space="preserve">Adoption gain 2017-24 (pp)</t>
  </si>
  <si>
    <t xml:space="preserve">Merchant gap (filled)</t>
  </si>
  <si>
    <t xml:space="preserve">Inclusion gap (filled)</t>
  </si>
  <si>
    <t xml:space="preserve">Remittances (filled)</t>
  </si>
  <si>
    <t xml:space="preserve">Momentum (filled)</t>
  </si>
  <si>
    <t xml:space="preserve">Mobile subs per 100 (capped)</t>
  </si>
  <si>
    <t xml:space="preserve">Electricity %</t>
  </si>
  <si>
    <t xml:space="preserve">Urban %</t>
  </si>
  <si>
    <t xml:space="preserve">Inflation (capped)</t>
  </si>
  <si>
    <t xml:space="preserve">Depreciation (capped)</t>
  </si>
  <si>
    <t xml:space="preserve">GDP growth</t>
  </si>
  <si>
    <t xml:space="preserve">Proximity</t>
  </si>
  <si>
    <t xml:space="preserve">Institutional stability</t>
  </si>
  <si>
    <t xml:space="preserve">Score: size</t>
  </si>
  <si>
    <t xml:space="preserve">Score: growth</t>
  </si>
  <si>
    <t xml:space="preserve">Score: merchant gap</t>
  </si>
  <si>
    <t xml:space="preserve">Score: remittances</t>
  </si>
  <si>
    <t xml:space="preserve">Score: inclusion gap</t>
  </si>
  <si>
    <t xml:space="preserve">ATTRACTIVENESS</t>
  </si>
  <si>
    <t xml:space="preserve">Score: mobile subs</t>
  </si>
  <si>
    <t xml:space="preserve">Score: internet</t>
  </si>
  <si>
    <t xml:space="preserve">Score: electricity</t>
  </si>
  <si>
    <t xml:space="preserve">Score: urban</t>
  </si>
  <si>
    <t xml:space="preserve">Digital readiness</t>
  </si>
  <si>
    <t xml:space="preserve">Score: inflation</t>
  </si>
  <si>
    <t xml:space="preserve">Score: currency</t>
  </si>
  <si>
    <t xml:space="preserve">Score: growth (GDP)</t>
  </si>
  <si>
    <t xml:space="preserve">Macro stability</t>
  </si>
  <si>
    <t xml:space="preserve">Mobile-led</t>
  </si>
  <si>
    <t xml:space="preserve">Momentum</t>
  </si>
  <si>
    <t xml:space="preserve">EASE</t>
  </si>
  <si>
    <t xml:space="preserve">PRIORITY SCORE</t>
  </si>
  <si>
    <t xml:space="preserve">RANK</t>
  </si>
  <si>
    <t xml:space="preserve">Business case for the top five markets: three scenarios each (USD millions)</t>
  </si>
  <si>
    <t xml:space="preserve">Each block rebuilds the case for one market and scenario. The top five are picked live by rank from the Scorecard. NPV at 2026; launch spend in 2026, first revenue 2027.</t>
  </si>
  <si>
    <t xml:space="preserve">NPV Low</t>
  </si>
  <si>
    <t xml:space="preserve">NPV Base</t>
  </si>
  <si>
    <t xml:space="preserve">NPV High</t>
  </si>
  <si>
    <t xml:space="preserve">Expected NPV</t>
  </si>
  <si>
    <t xml:space="preserve">Peak funding, Base</t>
  </si>
  <si>
    <t xml:space="preserve">Payback year, Base</t>
  </si>
  <si>
    <t xml:space="preserve">Operator users 2030, Base</t>
  </si>
  <si>
    <t xml:space="preserve">Operator revenue 2030, Base</t>
  </si>
  <si>
    <t xml:space="preserve">Operator EBITDA 2030, Base</t>
  </si>
  <si>
    <t xml:space="preserve">Break-even multiple of share assumption</t>
  </si>
  <si>
    <t xml:space="preserve">Break-even share of NEW users</t>
  </si>
  <si>
    <t xml:space="preserve">How to read: NPV is at 2026 in $m. 'Break-even multiple' is the multiple of the Base share assumption at which NPV = 0 (below 1.0 = positive at the assumed share). 'Break-even share of NEW users' restates it as a share of adults who start using mobile money after 2024.</t>
  </si>
  <si>
    <t xml:space="preserve">Expected NPV weights Low, Base and High by the scenario weights on Inputs. Costs scale with market size (Inputs section 4).</t>
  </si>
  <si>
    <t xml:space="preserve">Rank 1 | Low scenario | row index in market list</t>
  </si>
  <si>
    <t xml:space="preserve">Mobile money adoption 2024</t>
  </si>
  <si>
    <t xml:space="preserve">Growth of logit per year x scenario multiplier</t>
  </si>
  <si>
    <t xml:space="preserve">Revenue per user ($ a year)</t>
  </si>
  <si>
    <t xml:space="preserve">Share of existing users won</t>
  </si>
  <si>
    <t xml:space="preserve">Share of new users won</t>
  </si>
  <si>
    <t xml:space="preserve">Year</t>
  </si>
  <si>
    <t xml:space="preserve">Adults</t>
  </si>
  <si>
    <t xml:space="preserve">Mobile money adoption</t>
  </si>
  <si>
    <t xml:space="preserve">Existing users at 2024 penetration</t>
  </si>
  <si>
    <t xml:space="preserve">New users above 2024 penetration</t>
  </si>
  <si>
    <t xml:space="preserve">Ramp (share of target reached)</t>
  </si>
  <si>
    <t xml:space="preserve">Operator users</t>
  </si>
  <si>
    <t xml:space="preserve">Operator revenue ($m)</t>
  </si>
  <si>
    <t xml:space="preserve">Acquisition cost ($m)</t>
  </si>
  <si>
    <t xml:space="preserve">Fixed operating cost ($m)</t>
  </si>
  <si>
    <t xml:space="preserve">Margin on revenue less acquisition cost ($m)</t>
  </si>
  <si>
    <t xml:space="preserve">EBITDA ($m)</t>
  </si>
  <si>
    <t xml:space="preserve">Discount factor</t>
  </si>
  <si>
    <t xml:space="preserve">PV of EBITDA ($m)</t>
  </si>
  <si>
    <t xml:space="preserve">Cumulative cash incl. launch spend ($m)</t>
  </si>
  <si>
    <t xml:space="preserve">Payback marker</t>
  </si>
  <si>
    <t xml:space="preserve">Launch investment ($m)</t>
  </si>
  <si>
    <t xml:space="preserve">NPV ($m)</t>
  </si>
  <si>
    <t xml:space="preserve">Peak funding need ($m)</t>
  </si>
  <si>
    <t xml:space="preserve">Payback year</t>
  </si>
  <si>
    <t xml:space="preserve">PV of revenue incl. terminal value ($m)</t>
  </si>
  <si>
    <t xml:space="preserve">PV of acquisition cost incl. terminal value ($m)</t>
  </si>
  <si>
    <t xml:space="preserve">PV of launch spend and fixed cost incl. terminal value ($m)</t>
  </si>
  <si>
    <t xml:space="preserve">Closed-form NPV = margin x PV revenue - PV acquisition - PV fixed ($m)</t>
  </si>
  <si>
    <t xml:space="preserve">Break-even multiple of the share assumption</t>
  </si>
  <si>
    <t xml:space="preserve">Closed-form gap (should be 0)</t>
  </si>
  <si>
    <t xml:space="preserve">Rank 1 | Base scenario | row index in market list</t>
  </si>
  <si>
    <t xml:space="preserve">Rank 1 | High scenario | row index in market list</t>
  </si>
  <si>
    <t xml:space="preserve">Rank 2 | Low scenario | row index in market list</t>
  </si>
  <si>
    <t xml:space="preserve">Rank 2 | Base scenario | row index in market list</t>
  </si>
  <si>
    <t xml:space="preserve">Rank 2 | High scenario | row index in market list</t>
  </si>
  <si>
    <t xml:space="preserve">Rank 3 | Low scenario | row index in market list</t>
  </si>
  <si>
    <t xml:space="preserve">Rank 3 | Base scenario | row index in market list</t>
  </si>
  <si>
    <t xml:space="preserve">Rank 3 | High scenario | row index in market list</t>
  </si>
  <si>
    <t xml:space="preserve">Rank 4 | Low scenario | row index in market list</t>
  </si>
  <si>
    <t xml:space="preserve">Rank 4 | Base scenario | row index in market list</t>
  </si>
  <si>
    <t xml:space="preserve">Rank 4 | High scenario | row index in market list</t>
  </si>
  <si>
    <t xml:space="preserve">Rank 5 | Low scenario | row index in market list</t>
  </si>
  <si>
    <t xml:space="preserve">Rank 5 | Base scenario | row index in market list</t>
  </si>
  <si>
    <t xml:space="preserve">Rank 5 | High scenario | row index in market list</t>
  </si>
  <si>
    <t xml:space="preserve">Sensitivity of NPV for the top three markets (Base scenario, $m)</t>
  </si>
  <si>
    <t xml:space="preserve">Closed-form recalculation: NPV = share multiple x (margin x revenue multiple x PV revenue - PV acquisition) - PV fixed. The centre cell of each grid equals the Base NPV on Cases.</t>
  </si>
  <si>
    <t xml:space="preserve">Grid 1: operator share (multiple of Base) across, revenue per user (multiple of Base) down</t>
  </si>
  <si>
    <t xml:space="preserve">Grid 2: fixed-cost multiple across, contribution margin down</t>
  </si>
  <si>
    <t xml:space="preserve">Robustness and validation (static results from analysis/model.py)</t>
  </si>
  <si>
    <t xml:space="preserve">These come from estimation in Python (regression, back-test, Monte Carlo). They are not live formulas; re-run model.py to refresh.</t>
  </si>
  <si>
    <t xml:space="preserve">A. Does an economic-fundamentals model predict mobile-money adoption? (leave-one-country-out test)</t>
  </si>
  <si>
    <t xml:space="preserve">Prediction error for 2024 adoption, countries held out one at a time (percentage points, RMSE)</t>
  </si>
  <si>
    <t xml:space="preserve">Fundamentals model (income, urbanisation, phones, electricity, remittances, survey wave)</t>
  </si>
  <si>
    <t xml:space="preserve">Benchmark with no fundamentals (survey-wave average only)</t>
  </si>
  <si>
    <t xml:space="preserve">Countries tested</t>
  </si>
  <si>
    <t xml:space="preserve">Reading: fundamentals do not beat the benchmark out-of-sample, so mobile-money success depends on the local ecosystem (regulation, operator, agents). That is why the plan includes a due-diligence gate.</t>
  </si>
  <si>
    <t xml:space="preserve">B. Regression coefficients (dependent variable: logit of mobile-money adoption; country-clustered standard errors)</t>
  </si>
  <si>
    <t xml:space="preserve">Variable</t>
  </si>
  <si>
    <t xml:space="preserve">Model A coefficient</t>
  </si>
  <si>
    <t xml:space="preserve">Std. error</t>
  </si>
  <si>
    <t xml:space="preserve">t</t>
  </si>
  <si>
    <t xml:space="preserve">Model B coefficient</t>
  </si>
  <si>
    <t xml:space="preserve">const</t>
  </si>
  <si>
    <t xml:space="preserve">ln_gdppc</t>
  </si>
  <si>
    <t xml:space="preserve">urban</t>
  </si>
  <si>
    <t xml:space="preserve">subs</t>
  </si>
  <si>
    <t xml:space="preserve">elec</t>
  </si>
  <si>
    <t xml:space="preserve">remit</t>
  </si>
  <si>
    <t xml:space="preserve">fi</t>
  </si>
  <si>
    <t xml:space="preserve">wave_2017</t>
  </si>
  <si>
    <t xml:space="preserve">wave_2021</t>
  </si>
  <si>
    <t xml:space="preserve">wave_2024</t>
  </si>
  <si>
    <t xml:space="preserve">R-squared</t>
  </si>
  <si>
    <t xml:space="preserve">Observations / countries</t>
  </si>
  <si>
    <t xml:space="preserve">124 / 36</t>
  </si>
  <si>
    <t xml:space="preserve">C. Back-test of the adoption forecast: forecast 2024 from data up to the 2022 round</t>
  </si>
  <si>
    <t xml:space="preserve">Weight on country's own trend</t>
  </si>
  <si>
    <t xml:space="preserve">Mean absolute error (pp)</t>
  </si>
  <si>
    <t xml:space="preserve">Bias (pp)</t>
  </si>
  <si>
    <t xml:space="preserve">Error if no growth is assumed (pp)</t>
  </si>
  <si>
    <t xml:space="preserve">Countries</t>
  </si>
  <si>
    <t xml:space="preserve">Pooled growth g0</t>
  </si>
  <si>
    <t xml:space="preserve">Reading: a common growth rate beats country-specific trends, and any growth beats none. A positive bias means the forecast runs high, so the Low scenario matters.</t>
  </si>
  <si>
    <t xml:space="preserve">D. How stable is the ranking? 5,000 random draws of all scoring weights</t>
  </si>
  <si>
    <t xml:space="preserve">Base-weights rank</t>
  </si>
  <si>
    <t xml:space="preserve">Ranked #1</t>
  </si>
  <si>
    <t xml:space="preserve">In top 2</t>
  </si>
  <si>
    <t xml:space="preserve">In top 3</t>
  </si>
  <si>
    <t xml:space="preserve">Sources and limitations</t>
  </si>
  <si>
    <t xml:space="preserve">ID</t>
  </si>
  <si>
    <t xml:space="preserve">Source</t>
  </si>
  <si>
    <t xml:space="preserve">Publisher</t>
  </si>
  <si>
    <t xml:space="preserve">Link</t>
  </si>
  <si>
    <t xml:space="preserve">Used for</t>
  </si>
  <si>
    <t xml:space="preserve">S1</t>
  </si>
  <si>
    <t xml:space="preserve">Global Findex Database 2025 (survey year 2024; earlier rounds 2011-2021/22)</t>
  </si>
  <si>
    <t xml:space="preserve">World Bank / Gates Foundation / Gallup</t>
  </si>
  <si>
    <t xml:space="preserve">https://www.worldbank.org/en/publication/globalfindex</t>
  </si>
  <si>
    <t xml:space="preserve">Mobile money, account and merchant-payment adoption; gender, income and rural gaps; adult population</t>
  </si>
  <si>
    <t xml:space="preserve">S2</t>
  </si>
  <si>
    <t xml:space="preserve">World Development Indicators (DataBank extract, last updated 8 Oct 2026)</t>
  </si>
  <si>
    <t xml:space="preserve">World Bank</t>
  </si>
  <si>
    <t xml:space="preserve">https://databank.worldbank.org/source/world-development-indicators</t>
  </si>
  <si>
    <t xml:space="preserve">GDP per capita, urbanisation, mobile subscriptions, internet, electricity, remittances, inflation, exchange rate, population growth</t>
  </si>
  <si>
    <t xml:space="preserve">S3</t>
  </si>
  <si>
    <t xml:space="preserve">Safaricom FY2026 results (year to March 2026), M-Pesa revenue and active customers</t>
  </si>
  <si>
    <t xml:space="preserve">Safaricom PLC, as reported by HapaKenya</t>
  </si>
  <si>
    <t xml:space="preserve">https://hapakenya.com</t>
  </si>
  <si>
    <t xml:space="preserve">Calibration of revenue per active user in the home market</t>
  </si>
  <si>
    <t xml:space="preserve">Airtel Africa FY2026 final results: Airtel Money revenue and customers by region</t>
  </si>
  <si>
    <t xml:space="preserve">Airtel Africa plc</t>
  </si>
  <si>
    <t xml:space="preserve">https://www.airtel.africa/</t>
  </si>
  <si>
    <t xml:space="preserve">Calibration of revenue per customer in East Africa and Nigeria; low-revenue bank-led markets</t>
  </si>
  <si>
    <t xml:space="preserve">S5</t>
  </si>
  <si>
    <t xml:space="preserve">Harmonized List of Fragile and Conflict-Affected Situations, FY26</t>
  </si>
  <si>
    <t xml:space="preserve">https://www.worldbank.org/en/topic/fragilityconflictviolence/brief/harmonized-list-of-fragile-situations</t>
  </si>
  <si>
    <t xml:space="preserve">Institutional stability score (conflict = 0, institutional/social fragility = 40, not listed = 100)</t>
  </si>
  <si>
    <t xml:space="preserve">Limitations (also stated in the deck and the methods appendix)</t>
  </si>
  <si>
    <t xml:space="preserve">L1</t>
  </si>
  <si>
    <t xml:space="preserve">Governance indicators (WGI: government effectiveness GE.EST, regulatory quality RQ.EST) were not in the data supplied. Institutional stability is therefore proxied by the World Bank FY26 fragility list, which is coarse (three levels). Adding WGI is the first extension.</t>
  </si>
  <si>
    <t xml:space="preserve">L2</t>
  </si>
  <si>
    <t xml:space="preserve">No Findex codebook was available. Variable meanings were taken from names and checked against published headline figures (for example Kenya's mobile-money adoption).</t>
  </si>
  <si>
    <t xml:space="preserve">L3</t>
  </si>
  <si>
    <t xml:space="preserve">Rwanda, Burundi, Somalia and South Sudan have no 2024 Findex mobile-money result, so they cannot be scored.</t>
  </si>
  <si>
    <t xml:space="preserve">L4</t>
  </si>
  <si>
    <t xml:space="preserve">Findex measures the share of adults reporting a mobile money account. Operator-reported 'active users' are defined differently and are not comparable one-to-one.</t>
  </si>
  <si>
    <t xml:space="preserve">L5</t>
  </si>
  <si>
    <t xml:space="preserve">Revenue per user is calibrated on two company disclosures reported in the press (S3, S4), not audited filings. It is scaled to other markets by income and by how mobile-led the market is. The Low/High range spans the uncertainty.</t>
  </si>
  <si>
    <t xml:space="preserve">L6</t>
  </si>
  <si>
    <t xml:space="preserve">Judgement inputs, flagged [A] in the workbook: proximity to Kenya, operator share of new and existing users, margin, fixed cost, launch investment, terminal multiple and discount-rate premia. Each is tested in the Sensitivity sheet or through the break-even share.</t>
  </si>
  <si>
    <t xml:space="preserve">L7</t>
  </si>
  <si>
    <t xml:space="preserve">A cross-country regression of adoption on economic fundamentals does not predict adoption out-of-sample (leave-one-country-out error 25.5 points against 21.0 for a no-fundamentals benchmark). The regression is therefore reported, not used in scoring.</t>
  </si>
  <si>
    <t xml:space="preserve">L8</t>
  </si>
  <si>
    <t xml:space="preserve">The adoption forecast over-predicted 2024 levels by 2.8 points on average in a back-test from 2022. The Low scenario halves the trend to cover this.</t>
  </si>
  <si>
    <t xml:space="preserve">L9</t>
  </si>
  <si>
    <t xml:space="preserve">Ranks beyond the top two are sensitive to the scoring weights (see Robustness). The recommendation rests on the top of the ranking and on the gate sequence, not on a precise ordering.</t>
  </si>
  <si>
    <t xml:space="preserve">L10</t>
  </si>
  <si>
    <t xml:space="preserve">Business-case values are an illustrative, entry-level screen (no tax, no working capital, no currency path beyond the discount-rate premium). They are not a valuation.</t>
  </si>
  <si>
    <t xml:space="preserve">Python reference results (static values from analysis/model.py)</t>
  </si>
  <si>
    <t xml:space="preserve">Independent implementation. Columns V onward compare the workbook with these values; the Checks sheet totals the differences.</t>
  </si>
  <si>
    <t xml:space="preserve">Attractiveness</t>
  </si>
  <si>
    <t xml:space="preserve">Ease</t>
  </si>
  <si>
    <t xml:space="preserve">Priority</t>
  </si>
  <si>
    <t xml:space="preserve">Peak funding Base</t>
  </si>
  <si>
    <t xml:space="preserve">Break-even share multiple</t>
  </si>
  <si>
    <t xml:space="preserve">Top-1 frequency</t>
  </si>
  <si>
    <t xml:space="preserve">Top-2 frequency</t>
  </si>
  <si>
    <t xml:space="preserve">Top-3 frequency</t>
  </si>
  <si>
    <t xml:space="preserve">diff adoption</t>
  </si>
  <si>
    <t xml:space="preserve">diff pool</t>
  </si>
  <si>
    <t xml:space="preserve">diff winnable</t>
  </si>
  <si>
    <t xml:space="preserve">diff A</t>
  </si>
  <si>
    <t xml:space="preserve">diff E</t>
  </si>
  <si>
    <t xml:space="preserve">diff priority</t>
  </si>
  <si>
    <t xml:space="preserve">diff rank</t>
  </si>
  <si>
    <t xml:space="preserve">diff WACC</t>
  </si>
  <si>
    <t xml:space="preserve">Checks</t>
  </si>
  <si>
    <t xml:space="preserve">Every row should read TRUE. The workbook is recalculated independently of the Python reference; differences should be at rounding level.</t>
  </si>
  <si>
    <t xml:space="preserve">Check</t>
  </si>
  <si>
    <t xml:space="preserve">Value</t>
  </si>
  <si>
    <t xml:space="preserve">Tolerance</t>
  </si>
  <si>
    <t xml:space="preserve">Pass</t>
  </si>
  <si>
    <t xml:space="preserve">Attractiveness weights sum to 100%</t>
  </si>
  <si>
    <t xml:space="preserve">Ease weights sum to 100%</t>
  </si>
  <si>
    <t xml:space="preserve">Adoption forecast 2030 (Base) equals Python: total absolute difference</t>
  </si>
  <si>
    <t xml:space="preserve">Revenue pool 2030 (Base) equals Python</t>
  </si>
  <si>
    <t xml:space="preserve">Winnable revenue 2030 (Base) equals Python</t>
  </si>
  <si>
    <t xml:space="preserve">Attractiveness score equals Python</t>
  </si>
  <si>
    <t xml:space="preserve">Ease score equals Python</t>
  </si>
  <si>
    <t xml:space="preserve">Priority score equals Python</t>
  </si>
  <si>
    <t xml:space="preserve">Rank equals Python</t>
  </si>
  <si>
    <t xml:space="preserve">Discount rate equals Python</t>
  </si>
  <si>
    <t xml:space="preserve">Number of ranked candidates equals count of candidate flags</t>
  </si>
  <si>
    <t xml:space="preserve">Home market (Kenya) is excluded from candidates</t>
  </si>
  <si>
    <t xml:space="preserve">Closed-form NPV equals year-by-year NPV in all 15 case blocks (total gap)</t>
  </si>
  <si>
    <t xml:space="preserve">NPV (Low, Base, High) for the top five equals Python: total absolute difference</t>
  </si>
  <si>
    <t xml:space="preserve">Break-even share multiple for the top five equals Python's bisection</t>
  </si>
  <si>
    <t xml:space="preserve">Sensitivity grid centre cells equal Base NPV (total difference)</t>
  </si>
  <si>
    <t xml:space="preserve">No error values on Data</t>
  </si>
  <si>
    <t xml:space="preserve">No error values on Forecast</t>
  </si>
  <si>
    <t xml:space="preserve">No error values on Pools</t>
  </si>
  <si>
    <t xml:space="preserve">No error values on Scorecard</t>
  </si>
  <si>
    <t xml:space="preserve">No error values on Cases</t>
  </si>
  <si>
    <t xml:space="preserve">No error values on Sensitivity</t>
  </si>
  <si>
    <t xml:space="preserve">No error values on Summary</t>
  </si>
  <si>
    <t xml:space="preserve">OVERALL</t>
  </si>
</sst>
</file>

<file path=xl/styles.xml><?xml version="1.0" encoding="utf-8"?>
<styleSheet xmlns="http://schemas.openxmlformats.org/spreadsheetml/2006/main">
  <numFmts count="12">
    <numFmt numFmtId="164" formatCode="General"/>
    <numFmt numFmtId="165" formatCode="0"/>
    <numFmt numFmtId="166" formatCode="#,##0.0"/>
    <numFmt numFmtId="167" formatCode="0.0%"/>
    <numFmt numFmtId="168" formatCode="#,##0"/>
    <numFmt numFmtId="169" formatCode="0.0000"/>
    <numFmt numFmtId="170" formatCode="#,##0.00"/>
    <numFmt numFmtId="171" formatCode="0%"/>
    <numFmt numFmtId="172" formatCode="0.00\x"/>
    <numFmt numFmtId="173" formatCode="0.000"/>
    <numFmt numFmtId="174" formatCode="0.000000"/>
    <numFmt numFmtId="175"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1B1F5E"/>
      <name val="Arial"/>
      <family val="0"/>
      <charset val="1"/>
    </font>
    <font>
      <i val="true"/>
      <sz val="9"/>
      <color rgb="FF555555"/>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sz val="10"/>
      <color rgb="FF008000"/>
      <name val="Arial"/>
      <family val="0"/>
      <charset val="1"/>
    </font>
  </fonts>
  <fills count="6">
    <fill>
      <patternFill patternType="none"/>
    </fill>
    <fill>
      <patternFill patternType="gray125"/>
    </fill>
    <fill>
      <patternFill patternType="solid">
        <fgColor rgb="FFE7E8F4"/>
        <bgColor rgb="FFF4F7FF"/>
      </patternFill>
    </fill>
    <fill>
      <patternFill patternType="solid">
        <fgColor rgb="FFFFF2CC"/>
        <bgColor rgb="FFF4F7FF"/>
      </patternFill>
    </fill>
    <fill>
      <patternFill patternType="solid">
        <fgColor rgb="FF1B1F5E"/>
        <bgColor rgb="FF333333"/>
      </patternFill>
    </fill>
    <fill>
      <patternFill patternType="solid">
        <fgColor rgb="FFF4F7FF"/>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center" vertical="center" textRotation="0" wrapText="tru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6" fontId="6" fillId="3"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9" fontId="9" fillId="3"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70" fontId="9" fillId="3" borderId="0" xfId="0" applyFont="true" applyBorder="false" applyAlignment="false" applyProtection="false">
      <alignment horizontal="general" vertical="bottom" textRotation="0" wrapText="false" indent="0" shrinkToFit="false"/>
      <protection locked="true" hidden="false"/>
    </xf>
    <xf numFmtId="166" fontId="9" fillId="3" borderId="0" xfId="0" applyFont="true" applyBorder="false" applyAlignment="false" applyProtection="false">
      <alignment horizontal="general" vertical="bottom" textRotation="0" wrapText="false" indent="0" shrinkToFit="false"/>
      <protection locked="true" hidden="false"/>
    </xf>
    <xf numFmtId="167" fontId="9" fillId="3"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71" fontId="9" fillId="3"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5" fontId="7" fillId="3"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5" fontId="6" fillId="3" borderId="0" xfId="0" applyFont="true" applyBorder="false" applyAlignment="false" applyProtection="false">
      <alignment horizontal="general" vertical="bottom" textRotation="0" wrapText="false" indent="0" shrinkToFit="false"/>
      <protection locked="true" hidden="false"/>
    </xf>
    <xf numFmtId="165" fontId="6" fillId="2"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5" fontId="8" fillId="4" borderId="0" xfId="0" applyFont="true" applyBorder="false" applyAlignment="true" applyProtection="false">
      <alignment horizontal="center"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73" fontId="7" fillId="0" borderId="0" xfId="0" applyFont="true" applyBorder="false" applyAlignment="false" applyProtection="false">
      <alignment horizontal="general" vertical="bottom" textRotation="0" wrapText="false" indent="0" shrinkToFit="false"/>
      <protection locked="true" hidden="false"/>
    </xf>
    <xf numFmtId="170" fontId="7" fillId="3" borderId="0" xfId="0" applyFont="true" applyBorder="false" applyAlignment="false" applyProtection="false">
      <alignment horizontal="general" vertical="bottom" textRotation="0" wrapText="false" indent="0" shrinkToFit="false"/>
      <protection locked="true" hidden="false"/>
    </xf>
    <xf numFmtId="174" fontId="7"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72" fontId="9" fillId="5" borderId="0" xfId="0" applyFont="true" applyBorder="false" applyAlignment="false" applyProtection="false">
      <alignment horizontal="general" vertical="bottom" textRotation="0" wrapText="false" indent="0" shrinkToFit="false"/>
      <protection locked="true" hidden="false"/>
    </xf>
    <xf numFmtId="167" fontId="9" fillId="5" borderId="0" xfId="0" applyFont="true" applyBorder="false" applyAlignment="false" applyProtection="false">
      <alignment horizontal="general" vertical="bottom" textRotation="0" wrapText="false" indent="0" shrinkToFit="false"/>
      <protection locked="true" hidden="false"/>
    </xf>
    <xf numFmtId="173"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74" fontId="9" fillId="0" borderId="0" xfId="0" applyFont="true" applyBorder="false" applyAlignment="false" applyProtection="false">
      <alignment horizontal="general" vertical="bottom" textRotation="0" wrapText="false" indent="0" shrinkToFit="false"/>
      <protection locked="true" hidden="false"/>
    </xf>
    <xf numFmtId="175"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Arial"/>
        <charset val="1"/>
        <family val="0"/>
        <b val="1"/>
        <color rgb="FFC00000"/>
        <sz val="1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7A7A7A"/>
      <rgbColor rgb="FF9999FF"/>
      <rgbColor rgb="FF993366"/>
      <rgbColor rgb="FFFFF2CC"/>
      <rgbColor rgb="FFF4F7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7E8F4"/>
      <rgbColor rgb="FFCCFFCC"/>
      <rgbColor rgb="FFFFFF99"/>
      <rgbColor rgb="FF99CCFF"/>
      <rgbColor rgb="FFFF99CC"/>
      <rgbColor rgb="FFCC99FF"/>
      <rgbColor rgb="FFFFCC99"/>
      <rgbColor rgb="FF2F55D4"/>
      <rgbColor rgb="FF33CCCC"/>
      <rgbColor rgb="FF99CC00"/>
      <rgbColor rgb="FFFFCC00"/>
      <rgbColor rgb="FFFF9900"/>
      <rgbColor rgb="FFD9482B"/>
      <rgbColor rgb="FF555555"/>
      <rgbColor rgb="FF969696"/>
      <rgbColor rgb="FF1B1F5E"/>
      <rgbColor rgb="FF2E8B57"/>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7A7A"/>
    <pageSetUpPr fitToPage="false"/>
  </sheetPr>
  <dimension ref="A1:B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3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6" t="s">
        <v>4</v>
      </c>
    </row>
    <row r="6" customFormat="false" ht="15" hidden="false" customHeight="false" outlineLevel="0" collapsed="false">
      <c r="A6" s="5" t="s">
        <v>5</v>
      </c>
      <c r="B6" s="6" t="s">
        <v>6</v>
      </c>
    </row>
    <row r="7" customFormat="false" ht="15" hidden="false" customHeight="false" outlineLevel="0" collapsed="false">
      <c r="A7" s="5" t="s">
        <v>7</v>
      </c>
      <c r="B7" s="6" t="s">
        <v>8</v>
      </c>
    </row>
    <row r="8" customFormat="false" ht="15" hidden="false" customHeight="false" outlineLevel="0" collapsed="false">
      <c r="A8" s="3" t="s">
        <v>9</v>
      </c>
      <c r="B8" s="4"/>
    </row>
    <row r="9" customFormat="false" ht="15" hidden="false" customHeight="false" outlineLevel="0" collapsed="false">
      <c r="A9" s="5" t="s">
        <v>10</v>
      </c>
      <c r="B9" s="6" t="s">
        <v>11</v>
      </c>
    </row>
    <row r="10" customFormat="false" ht="15" hidden="false" customHeight="false" outlineLevel="0" collapsed="false">
      <c r="A10" s="5" t="s">
        <v>12</v>
      </c>
      <c r="B10" s="6" t="s">
        <v>13</v>
      </c>
    </row>
    <row r="11" customFormat="false" ht="15" hidden="false" customHeight="false" outlineLevel="0" collapsed="false">
      <c r="A11" s="5" t="s">
        <v>14</v>
      </c>
      <c r="B11" s="6" t="s">
        <v>15</v>
      </c>
    </row>
    <row r="12" customFormat="false" ht="15" hidden="false" customHeight="false" outlineLevel="0" collapsed="false">
      <c r="A12" s="5" t="s">
        <v>16</v>
      </c>
      <c r="B12" s="6" t="s">
        <v>17</v>
      </c>
    </row>
    <row r="13" customFormat="false" ht="15" hidden="false" customHeight="false" outlineLevel="0" collapsed="false">
      <c r="A13" s="5" t="s">
        <v>18</v>
      </c>
      <c r="B13" s="6" t="s">
        <v>19</v>
      </c>
    </row>
    <row r="14" customFormat="false" ht="15" hidden="false" customHeight="false" outlineLevel="0" collapsed="false">
      <c r="A14" s="5" t="s">
        <v>20</v>
      </c>
      <c r="B14" s="6" t="s">
        <v>21</v>
      </c>
    </row>
    <row r="15" customFormat="false" ht="15" hidden="false" customHeight="false" outlineLevel="0" collapsed="false">
      <c r="A15" s="5" t="s">
        <v>22</v>
      </c>
      <c r="B15" s="6" t="s">
        <v>23</v>
      </c>
    </row>
    <row r="16" customFormat="false" ht="15" hidden="false" customHeight="false" outlineLevel="0" collapsed="false">
      <c r="A16" s="5" t="s">
        <v>24</v>
      </c>
      <c r="B16" s="6" t="s">
        <v>25</v>
      </c>
    </row>
    <row r="17" customFormat="false" ht="15" hidden="false" customHeight="false" outlineLevel="0" collapsed="false">
      <c r="A17" s="7" t="s">
        <v>26</v>
      </c>
      <c r="B17" s="6" t="s">
        <v>27</v>
      </c>
    </row>
    <row r="18" customFormat="false" ht="15" hidden="false" customHeight="false" outlineLevel="0" collapsed="false">
      <c r="A18" s="7" t="s">
        <v>28</v>
      </c>
      <c r="B18" s="6" t="s">
        <v>29</v>
      </c>
    </row>
    <row r="19" customFormat="false" ht="15" hidden="false" customHeight="false" outlineLevel="0" collapsed="false">
      <c r="A19" s="7" t="s">
        <v>30</v>
      </c>
      <c r="B19" s="6"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482B"/>
    <pageSetUpPr fitToPage="false"/>
  </sheetPr>
  <dimension ref="A1:M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8"/>
    <col collapsed="false" customWidth="true" hidden="false" outlineLevel="0" max="6" min="4" style="0" width="15"/>
    <col collapsed="false" customWidth="true" hidden="false" outlineLevel="0" max="7" min="7" style="0" width="16"/>
    <col collapsed="false" customWidth="true" hidden="false" outlineLevel="0" max="13" min="8" style="0" width="15"/>
  </cols>
  <sheetData>
    <row r="1" customFormat="false" ht="17.35" hidden="false" customHeight="false" outlineLevel="0" collapsed="false">
      <c r="A1" s="1" t="s">
        <v>32</v>
      </c>
    </row>
    <row r="2" customFormat="false" ht="15" hidden="false" customHeight="false" outlineLevel="0" collapsed="false">
      <c r="A2" s="2" t="s">
        <v>33</v>
      </c>
    </row>
    <row r="3" customFormat="false" ht="15" hidden="false" customHeight="false" outlineLevel="0" collapsed="false">
      <c r="A3" s="7" t="s">
        <v>34</v>
      </c>
      <c r="B3" s="8" t="str">
        <f aca="false">Checks!D29</f>
        <v>ALL CHECKS PASS</v>
      </c>
    </row>
    <row r="5" customFormat="false" ht="55.5" hidden="false" customHeight="true" outlineLevel="0" collapsed="false">
      <c r="A5" s="9" t="s">
        <v>35</v>
      </c>
      <c r="B5" s="9" t="s">
        <v>36</v>
      </c>
      <c r="C5" s="9" t="s">
        <v>37</v>
      </c>
      <c r="D5" s="9" t="s">
        <v>38</v>
      </c>
      <c r="E5" s="9" t="s">
        <v>39</v>
      </c>
      <c r="F5" s="9" t="s">
        <v>40</v>
      </c>
      <c r="G5" s="9" t="s">
        <v>41</v>
      </c>
      <c r="H5" s="9" t="s">
        <v>42</v>
      </c>
      <c r="I5" s="9" t="s">
        <v>43</v>
      </c>
      <c r="J5" s="9" t="s">
        <v>44</v>
      </c>
      <c r="K5" s="9" t="s">
        <v>45</v>
      </c>
      <c r="L5" s="9" t="s">
        <v>46</v>
      </c>
      <c r="M5" s="9" t="s">
        <v>47</v>
      </c>
    </row>
    <row r="6" customFormat="false" ht="15" hidden="false" customHeight="false" outlineLevel="0" collapsed="false">
      <c r="A6" s="10" t="n">
        <v>1</v>
      </c>
      <c r="B6" s="7" t="str">
        <f aca="false">INDEX(Scorecard!$A$6:$A$39,MATCH(1,Scorecard!$AS$6:$AS$39,0))</f>
        <v>Tanzania</v>
      </c>
      <c r="C6" s="5" t="str">
        <f aca="false">INDEX(Scorecard!$B$6:$B$39,MATCH(1,Scorecard!$AS$6:$AS$39,0))</f>
        <v>TZA</v>
      </c>
      <c r="D6" s="11" t="n">
        <f aca="false">INDEX(Scorecard!$AC$6:$AC$39,MATCH(1,Scorecard!$AS$6:$AS$39,0))</f>
        <v>54.3176224152719</v>
      </c>
      <c r="E6" s="11" t="n">
        <f aca="false">INDEX(Scorecard!$AQ$6:$AQ$39,MATCH(1,Scorecard!$AS$6:$AS$39,0))</f>
        <v>79.4208067273183</v>
      </c>
      <c r="F6" s="12" t="n">
        <f aca="false">INDEX(Scorecard!$AR$6:$AR$39,MATCH(1,Scorecard!$AS$6:$AS$39,0))</f>
        <v>65.6806622357811</v>
      </c>
      <c r="G6" s="5" t="str">
        <f aca="false">INDEX(Scorecard!$AU$6:$AU$39,MATCH(1,Scorecard!$AS$6:$AS$39,0))</f>
        <v>Prioritise</v>
      </c>
      <c r="H6" s="13" t="n">
        <f aca="false">INDEX(Data!$E$6:$E$39,MATCH(1,Scorecard!$AS$6:$AS$39,0))</f>
        <v>0.528539837276394</v>
      </c>
      <c r="I6" s="13" t="n">
        <f aca="false">INDEX(Forecast!$J$6:$J$39,MATCH(1,Scorecard!$AS$6:$AS$39,0))</f>
        <v>0.766140656862896</v>
      </c>
      <c r="J6" s="14" t="n">
        <f aca="false">INDEX(Pools!$L$6:$L$39,MATCH(1,Scorecard!$AS$6:$AS$39,0))</f>
        <v>672.623861292295</v>
      </c>
      <c r="K6" s="11" t="n">
        <f aca="false">INDEX(Pools!$R$6:$R$39,MATCH(1,Scorecard!$AS$6:$AS$39,0))</f>
        <v>45.2105654269449</v>
      </c>
      <c r="L6" s="13" t="n">
        <f aca="false">INDEX(Scorecard!$AT$6:$AT$39,MATCH(1,Scorecard!$AS$6:$AS$39,0))</f>
        <v>0.127992632329456</v>
      </c>
      <c r="M6" s="11" t="n">
        <f aca="false">IFERROR(INDEX(Cases!$F$6:$F$10,MATCH(C6,Cases!$C$6:$C$10,0)),"")</f>
        <v>13.478932655353</v>
      </c>
    </row>
    <row r="7" customFormat="false" ht="15" hidden="false" customHeight="false" outlineLevel="0" collapsed="false">
      <c r="A7" s="10" t="n">
        <v>2</v>
      </c>
      <c r="B7" s="7" t="str">
        <f aca="false">INDEX(Scorecard!$A$6:$A$39,MATCH(2,Scorecard!$AS$6:$AS$39,0))</f>
        <v>Cote d'Ivoire</v>
      </c>
      <c r="C7" s="5" t="str">
        <f aca="false">INDEX(Scorecard!$B$6:$B$39,MATCH(2,Scorecard!$AS$6:$AS$39,0))</f>
        <v>CIV</v>
      </c>
      <c r="D7" s="11" t="n">
        <f aca="false">INDEX(Scorecard!$AC$6:$AC$39,MATCH(2,Scorecard!$AS$6:$AS$39,0))</f>
        <v>51.3841967250728</v>
      </c>
      <c r="E7" s="11" t="n">
        <f aca="false">INDEX(Scorecard!$AQ$6:$AQ$39,MATCH(2,Scorecard!$AS$6:$AS$39,0))</f>
        <v>71.5472405816844</v>
      </c>
      <c r="F7" s="12" t="n">
        <f aca="false">INDEX(Scorecard!$AR$6:$AR$39,MATCH(2,Scorecard!$AS$6:$AS$39,0))</f>
        <v>60.6333034328939</v>
      </c>
      <c r="G7" s="5" t="str">
        <f aca="false">INDEX(Scorecard!$AU$6:$AU$39,MATCH(2,Scorecard!$AS$6:$AS$39,0))</f>
        <v>Prioritise</v>
      </c>
      <c r="H7" s="13" t="n">
        <f aca="false">INDEX(Data!$E$6:$E$39,MATCH(2,Scorecard!$AS$6:$AS$39,0))</f>
        <v>0.533817787682129</v>
      </c>
      <c r="I7" s="13" t="n">
        <f aca="false">INDEX(Forecast!$J$6:$J$39,MATCH(2,Scorecard!$AS$6:$AS$39,0))</f>
        <v>0.769916601971442</v>
      </c>
      <c r="J7" s="14" t="n">
        <f aca="false">INDEX(Pools!$L$6:$L$39,MATCH(2,Scorecard!$AS$6:$AS$39,0))</f>
        <v>408.814803487415</v>
      </c>
      <c r="K7" s="11" t="n">
        <f aca="false">INDEX(Pools!$R$6:$R$39,MATCH(2,Scorecard!$AS$6:$AS$39,0))</f>
        <v>27.308258998882</v>
      </c>
      <c r="L7" s="13" t="n">
        <f aca="false">INDEX(Scorecard!$AT$6:$AT$39,MATCH(2,Scorecard!$AS$6:$AS$39,0))</f>
        <v>0.125339934546042</v>
      </c>
      <c r="M7" s="11" t="n">
        <f aca="false">IFERROR(INDEX(Cases!$F$6:$F$10,MATCH(C7,Cases!$C$6:$C$10,0)),"")</f>
        <v>-10.323052514166</v>
      </c>
    </row>
    <row r="8" customFormat="false" ht="15" hidden="false" customHeight="false" outlineLevel="0" collapsed="false">
      <c r="A8" s="10" t="n">
        <v>3</v>
      </c>
      <c r="B8" s="7" t="str">
        <f aca="false">INDEX(Scorecard!$A$6:$A$39,MATCH(3,Scorecard!$AS$6:$AS$39,0))</f>
        <v>Uganda</v>
      </c>
      <c r="C8" s="5" t="str">
        <f aca="false">INDEX(Scorecard!$B$6:$B$39,MATCH(3,Scorecard!$AS$6:$AS$39,0))</f>
        <v>UGA</v>
      </c>
      <c r="D8" s="11" t="n">
        <f aca="false">INDEX(Scorecard!$AC$6:$AC$39,MATCH(3,Scorecard!$AS$6:$AS$39,0))</f>
        <v>47.4167662030097</v>
      </c>
      <c r="E8" s="11" t="n">
        <f aca="false">INDEX(Scorecard!$AQ$6:$AQ$39,MATCH(3,Scorecard!$AS$6:$AS$39,0))</f>
        <v>77.2681624560672</v>
      </c>
      <c r="F8" s="12" t="n">
        <f aca="false">INDEX(Scorecard!$AR$6:$AR$39,MATCH(3,Scorecard!$AS$6:$AS$39,0))</f>
        <v>60.5293845509395</v>
      </c>
      <c r="G8" s="5" t="str">
        <f aca="false">INDEX(Scorecard!$AU$6:$AU$39,MATCH(3,Scorecard!$AS$6:$AS$39,0))</f>
        <v>Prioritise</v>
      </c>
      <c r="H8" s="13" t="n">
        <f aca="false">INDEX(Data!$E$6:$E$39,MATCH(3,Scorecard!$AS$6:$AS$39,0))</f>
        <v>0.677382954204934</v>
      </c>
      <c r="I8" s="13" t="n">
        <f aca="false">INDEX(Forecast!$J$6:$J$39,MATCH(3,Scorecard!$AS$6:$AS$39,0))</f>
        <v>0.859860660305404</v>
      </c>
      <c r="J8" s="14" t="n">
        <f aca="false">INDEX(Pools!$L$6:$L$39,MATCH(3,Scorecard!$AS$6:$AS$39,0))</f>
        <v>516.181818023834</v>
      </c>
      <c r="K8" s="11" t="n">
        <f aca="false">INDEX(Pools!$R$6:$R$39,MATCH(3,Scorecard!$AS$6:$AS$39,0))</f>
        <v>28.6306086474706</v>
      </c>
      <c r="L8" s="13" t="n">
        <f aca="false">INDEX(Scorecard!$AT$6:$AT$39,MATCH(3,Scorecard!$AS$6:$AS$39,0))</f>
        <v>0.1271710250055</v>
      </c>
      <c r="M8" s="11" t="n">
        <f aca="false">IFERROR(INDEX(Cases!$F$6:$F$10,MATCH(C8,Cases!$C$6:$C$10,0)),"")</f>
        <v>-29.9009595726038</v>
      </c>
    </row>
    <row r="9" customFormat="false" ht="15" hidden="false" customHeight="false" outlineLevel="0" collapsed="false">
      <c r="A9" s="10" t="n">
        <v>4</v>
      </c>
      <c r="B9" s="7" t="str">
        <f aca="false">INDEX(Scorecard!$A$6:$A$39,MATCH(4,Scorecard!$AS$6:$AS$39,0))</f>
        <v>Congo, Dem. Rep.</v>
      </c>
      <c r="C9" s="5" t="str">
        <f aca="false">INDEX(Scorecard!$B$6:$B$39,MATCH(4,Scorecard!$AS$6:$AS$39,0))</f>
        <v>COD</v>
      </c>
      <c r="D9" s="11" t="n">
        <f aca="false">INDEX(Scorecard!$AC$6:$AC$39,MATCH(4,Scorecard!$AS$6:$AS$39,0))</f>
        <v>63.7863519879936</v>
      </c>
      <c r="E9" s="11" t="n">
        <f aca="false">INDEX(Scorecard!$AQ$6:$AQ$39,MATCH(4,Scorecard!$AS$6:$AS$39,0))</f>
        <v>56.9458090827218</v>
      </c>
      <c r="F9" s="15" t="n">
        <f aca="false">INDEX(Scorecard!$AR$6:$AR$39,MATCH(4,Scorecard!$AS$6:$AS$39,0))</f>
        <v>60.2691083590224</v>
      </c>
      <c r="G9" s="5" t="str">
        <f aca="false">INDEX(Scorecard!$AU$6:$AU$39,MATCH(4,Scorecard!$AS$6:$AS$39,0))</f>
        <v>Big but hard</v>
      </c>
      <c r="H9" s="13" t="n">
        <f aca="false">INDEX(Data!$E$6:$E$39,MATCH(4,Scorecard!$AS$6:$AS$39,0))</f>
        <v>0.351182388076236</v>
      </c>
      <c r="I9" s="13" t="n">
        <f aca="false">INDEX(Forecast!$J$6:$J$39,MATCH(4,Scorecard!$AS$6:$AS$39,0))</f>
        <v>0.61266217396715</v>
      </c>
      <c r="J9" s="14" t="n">
        <f aca="false">INDEX(Pools!$L$6:$L$39,MATCH(4,Scorecard!$AS$6:$AS$39,0))</f>
        <v>620.391745737345</v>
      </c>
      <c r="K9" s="11" t="n">
        <f aca="false">INDEX(Pools!$R$6:$R$39,MATCH(4,Scorecard!$AS$6:$AS$39,0))</f>
        <v>50.385197720014</v>
      </c>
      <c r="L9" s="13" t="n">
        <f aca="false">INDEX(Scorecard!$AT$6:$AT$39,MATCH(4,Scorecard!$AS$6:$AS$39,0))</f>
        <v>0.164660246144535</v>
      </c>
      <c r="M9" s="11" t="n">
        <f aca="false">IFERROR(INDEX(Cases!$F$6:$F$10,MATCH(C9,Cases!$C$6:$C$10,0)),"")</f>
        <v>2.18134775089046</v>
      </c>
    </row>
    <row r="10" customFormat="false" ht="15" hidden="false" customHeight="false" outlineLevel="0" collapsed="false">
      <c r="A10" s="10" t="n">
        <v>5</v>
      </c>
      <c r="B10" s="7" t="str">
        <f aca="false">INDEX(Scorecard!$A$6:$A$39,MATCH(5,Scorecard!$AS$6:$AS$39,0))</f>
        <v>Benin</v>
      </c>
      <c r="C10" s="5" t="str">
        <f aca="false">INDEX(Scorecard!$B$6:$B$39,MATCH(5,Scorecard!$AS$6:$AS$39,0))</f>
        <v>BEN</v>
      </c>
      <c r="D10" s="11" t="n">
        <f aca="false">INDEX(Scorecard!$AC$6:$AC$39,MATCH(5,Scorecard!$AS$6:$AS$39,0))</f>
        <v>43.3711895096053</v>
      </c>
      <c r="E10" s="11" t="n">
        <f aca="false">INDEX(Scorecard!$AQ$6:$AQ$39,MATCH(5,Scorecard!$AS$6:$AS$39,0))</f>
        <v>71.0330087969784</v>
      </c>
      <c r="F10" s="15" t="n">
        <f aca="false">INDEX(Scorecard!$AR$6:$AR$39,MATCH(5,Scorecard!$AS$6:$AS$39,0))</f>
        <v>55.5048293932268</v>
      </c>
      <c r="G10" s="5" t="str">
        <f aca="false">INDEX(Scorecard!$AU$6:$AU$39,MATCH(5,Scorecard!$AS$6:$AS$39,0))</f>
        <v>Easy but small</v>
      </c>
      <c r="H10" s="13" t="n">
        <f aca="false">INDEX(Data!$E$6:$E$39,MATCH(5,Scorecard!$AS$6:$AS$39,0))</f>
        <v>0.448728519417161</v>
      </c>
      <c r="I10" s="13" t="n">
        <f aca="false">INDEX(Forecast!$J$6:$J$39,MATCH(5,Scorecard!$AS$6:$AS$39,0))</f>
        <v>0.704027952866859</v>
      </c>
      <c r="J10" s="14" t="n">
        <f aca="false">INDEX(Pools!$L$6:$L$39,MATCH(5,Scorecard!$AS$6:$AS$39,0))</f>
        <v>129.377089399958</v>
      </c>
      <c r="K10" s="11" t="n">
        <f aca="false">INDEX(Pools!$R$6:$R$39,MATCH(5,Scorecard!$AS$6:$AS$39,0))</f>
        <v>9.5111853296423</v>
      </c>
      <c r="L10" s="13" t="n">
        <f aca="false">INDEX(Scorecard!$AT$6:$AT$39,MATCH(5,Scorecard!$AS$6:$AS$39,0))</f>
        <v>0.123757242958631</v>
      </c>
      <c r="M10" s="11" t="n">
        <f aca="false">IFERROR(INDEX(Cases!$F$6:$F$10,MATCH(C10,Cases!$C$6:$C$10,0)),"")</f>
        <v>-40.6568997130259</v>
      </c>
    </row>
    <row r="11" customFormat="false" ht="15" hidden="false" customHeight="false" outlineLevel="0" collapsed="false">
      <c r="A11" s="10" t="n">
        <v>6</v>
      </c>
      <c r="B11" s="7" t="str">
        <f aca="false">INDEX(Scorecard!$A$6:$A$39,MATCH(6,Scorecard!$AS$6:$AS$39,0))</f>
        <v>Senegal</v>
      </c>
      <c r="C11" s="5" t="str">
        <f aca="false">INDEX(Scorecard!$B$6:$B$39,MATCH(6,Scorecard!$AS$6:$AS$39,0))</f>
        <v>SEN</v>
      </c>
      <c r="D11" s="11" t="n">
        <f aca="false">INDEX(Scorecard!$AC$6:$AC$39,MATCH(6,Scorecard!$AS$6:$AS$39,0))</f>
        <v>41.4190802205252</v>
      </c>
      <c r="E11" s="11" t="n">
        <f aca="false">INDEX(Scorecard!$AQ$6:$AQ$39,MATCH(6,Scorecard!$AS$6:$AS$39,0))</f>
        <v>74.1286449274866</v>
      </c>
      <c r="F11" s="15" t="n">
        <f aca="false">INDEX(Scorecard!$AR$6:$AR$39,MATCH(6,Scorecard!$AS$6:$AS$39,0))</f>
        <v>55.4106514209172</v>
      </c>
      <c r="G11" s="5" t="str">
        <f aca="false">INDEX(Scorecard!$AU$6:$AU$39,MATCH(6,Scorecard!$AS$6:$AS$39,0))</f>
        <v>Easy but small</v>
      </c>
      <c r="H11" s="13" t="n">
        <f aca="false">INDEX(Data!$E$6:$E$39,MATCH(6,Scorecard!$AS$6:$AS$39,0))</f>
        <v>0.66912648954156</v>
      </c>
      <c r="I11" s="13" t="n">
        <f aca="false">INDEX(Forecast!$J$6:$J$39,MATCH(6,Scorecard!$AS$6:$AS$39,0))</f>
        <v>0.855276443270527</v>
      </c>
      <c r="J11" s="14" t="n">
        <f aca="false">INDEX(Pools!$L$6:$L$39,MATCH(6,Scorecard!$AS$6:$AS$39,0))</f>
        <v>223.560551411122</v>
      </c>
      <c r="K11" s="11" t="n">
        <f aca="false">INDEX(Pools!$R$6:$R$39,MATCH(6,Scorecard!$AS$6:$AS$39,0))</f>
        <v>12.5457407818461</v>
      </c>
      <c r="L11" s="13" t="n">
        <f aca="false">INDEX(Scorecard!$AT$6:$AT$39,MATCH(6,Scorecard!$AS$6:$AS$39,0))</f>
        <v>0.12862060090985</v>
      </c>
      <c r="M11" s="11" t="str">
        <f aca="false">IFERROR(INDEX(Cases!$F$6:$F$10,MATCH(C11,Cases!$C$6:$C$10,0)),"")</f>
        <v/>
      </c>
    </row>
    <row r="12" customFormat="false" ht="15" hidden="false" customHeight="false" outlineLevel="0" collapsed="false">
      <c r="A12" s="10" t="n">
        <v>7</v>
      </c>
      <c r="B12" s="7" t="str">
        <f aca="false">INDEX(Scorecard!$A$6:$A$39,MATCH(7,Scorecard!$AS$6:$AS$39,0))</f>
        <v>Zambia</v>
      </c>
      <c r="C12" s="5" t="str">
        <f aca="false">INDEX(Scorecard!$B$6:$B$39,MATCH(7,Scorecard!$AS$6:$AS$39,0))</f>
        <v>ZMB</v>
      </c>
      <c r="D12" s="11" t="n">
        <f aca="false">INDEX(Scorecard!$AC$6:$AC$39,MATCH(7,Scorecard!$AS$6:$AS$39,0))</f>
        <v>39.7987218082643</v>
      </c>
      <c r="E12" s="11" t="n">
        <f aca="false">INDEX(Scorecard!$AQ$6:$AQ$39,MATCH(7,Scorecard!$AS$6:$AS$39,0))</f>
        <v>75.5394558227829</v>
      </c>
      <c r="F12" s="15" t="n">
        <f aca="false">INDEX(Scorecard!$AR$6:$AR$39,MATCH(7,Scorecard!$AS$6:$AS$39,0))</f>
        <v>54.830409334954</v>
      </c>
      <c r="G12" s="5" t="str">
        <f aca="false">INDEX(Scorecard!$AU$6:$AU$39,MATCH(7,Scorecard!$AS$6:$AS$39,0))</f>
        <v>Easy but small</v>
      </c>
      <c r="H12" s="13" t="n">
        <f aca="false">INDEX(Data!$E$6:$E$39,MATCH(7,Scorecard!$AS$6:$AS$39,0))</f>
        <v>0.693107512524696</v>
      </c>
      <c r="I12" s="13" t="n">
        <f aca="false">INDEX(Forecast!$J$6:$J$39,MATCH(7,Scorecard!$AS$6:$AS$39,0))</f>
        <v>0.868418808991319</v>
      </c>
      <c r="J12" s="14" t="n">
        <f aca="false">INDEX(Pools!$L$6:$L$39,MATCH(7,Scorecard!$AS$6:$AS$39,0))</f>
        <v>258.313630610839</v>
      </c>
      <c r="K12" s="11" t="n">
        <f aca="false">INDEX(Pools!$R$6:$R$39,MATCH(7,Scorecard!$AS$6:$AS$39,0))</f>
        <v>14.0070298277552</v>
      </c>
      <c r="L12" s="13" t="n">
        <f aca="false">INDEX(Scorecard!$AT$6:$AT$39,MATCH(7,Scorecard!$AS$6:$AS$39,0))</f>
        <v>0.133048648119351</v>
      </c>
      <c r="M12" s="11" t="str">
        <f aca="false">IFERROR(INDEX(Cases!$F$6:$F$10,MATCH(C12,Cases!$C$6:$C$10,0)),"")</f>
        <v/>
      </c>
    </row>
    <row r="13" customFormat="false" ht="15" hidden="false" customHeight="false" outlineLevel="0" collapsed="false">
      <c r="A13" s="10" t="n">
        <v>8</v>
      </c>
      <c r="B13" s="7" t="str">
        <f aca="false">INDEX(Scorecard!$A$6:$A$39,MATCH(8,Scorecard!$AS$6:$AS$39,0))</f>
        <v>Togo</v>
      </c>
      <c r="C13" s="5" t="str">
        <f aca="false">INDEX(Scorecard!$B$6:$B$39,MATCH(8,Scorecard!$AS$6:$AS$39,0))</f>
        <v>TGO</v>
      </c>
      <c r="D13" s="11" t="n">
        <f aca="false">INDEX(Scorecard!$AC$6:$AC$39,MATCH(8,Scorecard!$AS$6:$AS$39,0))</f>
        <v>44.8862263914047</v>
      </c>
      <c r="E13" s="11" t="n">
        <f aca="false">INDEX(Scorecard!$AQ$6:$AQ$39,MATCH(8,Scorecard!$AS$6:$AS$39,0))</f>
        <v>66.784967130017</v>
      </c>
      <c r="F13" s="15" t="n">
        <f aca="false">INDEX(Scorecard!$AR$6:$AR$39,MATCH(8,Scorecard!$AS$6:$AS$39,0))</f>
        <v>54.7514854057902</v>
      </c>
      <c r="G13" s="5" t="str">
        <f aca="false">INDEX(Scorecard!$AU$6:$AU$39,MATCH(8,Scorecard!$AS$6:$AS$39,0))</f>
        <v>Easy but small</v>
      </c>
      <c r="H13" s="13" t="n">
        <f aca="false">INDEX(Data!$E$6:$E$39,MATCH(8,Scorecard!$AS$6:$AS$39,0))</f>
        <v>0.479918378510191</v>
      </c>
      <c r="I13" s="13" t="n">
        <f aca="false">INDEX(Forecast!$J$6:$J$39,MATCH(8,Scorecard!$AS$6:$AS$39,0))</f>
        <v>0.729481328245767</v>
      </c>
      <c r="J13" s="14" t="n">
        <f aca="false">INDEX(Pools!$L$6:$L$39,MATCH(8,Scorecard!$AS$6:$AS$39,0))</f>
        <v>82.3448632141738</v>
      </c>
      <c r="K13" s="11" t="n">
        <f aca="false">INDEX(Pools!$R$6:$R$39,MATCH(8,Scorecard!$AS$6:$AS$39,0))</f>
        <v>5.85086728831119</v>
      </c>
      <c r="L13" s="13" t="n">
        <f aca="false">INDEX(Scorecard!$AT$6:$AT$39,MATCH(8,Scorecard!$AS$6:$AS$39,0))</f>
        <v>0.125719936506133</v>
      </c>
      <c r="M13" s="11" t="str">
        <f aca="false">IFERROR(INDEX(Cases!$F$6:$F$10,MATCH(C13,Cases!$C$6:$C$10,0)),"")</f>
        <v/>
      </c>
    </row>
    <row r="14" customFormat="false" ht="15" hidden="false" customHeight="false" outlineLevel="0" collapsed="false">
      <c r="A14" s="10" t="n">
        <v>9</v>
      </c>
      <c r="B14" s="7" t="str">
        <f aca="false">INDEX(Scorecard!$A$6:$A$39,MATCH(9,Scorecard!$AS$6:$AS$39,0))</f>
        <v>Madagascar</v>
      </c>
      <c r="C14" s="5" t="str">
        <f aca="false">INDEX(Scorecard!$B$6:$B$39,MATCH(9,Scorecard!$AS$6:$AS$39,0))</f>
        <v>MDG</v>
      </c>
      <c r="D14" s="11" t="n">
        <f aca="false">INDEX(Scorecard!$AC$6:$AC$39,MATCH(9,Scorecard!$AS$6:$AS$39,0))</f>
        <v>53.5221027478631</v>
      </c>
      <c r="E14" s="11" t="n">
        <f aca="false">INDEX(Scorecard!$AQ$6:$AQ$39,MATCH(9,Scorecard!$AS$6:$AS$39,0))</f>
        <v>54.9013834460908</v>
      </c>
      <c r="F14" s="15" t="n">
        <f aca="false">INDEX(Scorecard!$AR$6:$AR$39,MATCH(9,Scorecard!$AS$6:$AS$39,0))</f>
        <v>54.2073563808595</v>
      </c>
      <c r="G14" s="5" t="str">
        <f aca="false">INDEX(Scorecard!$AU$6:$AU$39,MATCH(9,Scorecard!$AS$6:$AS$39,0))</f>
        <v>Big but hard</v>
      </c>
      <c r="H14" s="13" t="n">
        <f aca="false">INDEX(Data!$E$6:$E$39,MATCH(9,Scorecard!$AS$6:$AS$39,0))</f>
        <v>0.193550167093779</v>
      </c>
      <c r="I14" s="13" t="n">
        <f aca="false">INDEX(Forecast!$J$6:$J$39,MATCH(9,Scorecard!$AS$6:$AS$39,0))</f>
        <v>0.41223283140523</v>
      </c>
      <c r="J14" s="14" t="n">
        <f aca="false">INDEX(Pools!$L$6:$L$39,MATCH(9,Scorecard!$AS$6:$AS$39,0))</f>
        <v>117.792083270247</v>
      </c>
      <c r="K14" s="11" t="n">
        <f aca="false">INDEX(Pools!$R$6:$R$39,MATCH(9,Scorecard!$AS$6:$AS$39,0))</f>
        <v>11.032171545206</v>
      </c>
      <c r="L14" s="13" t="n">
        <f aca="false">INDEX(Scorecard!$AT$6:$AT$39,MATCH(9,Scorecard!$AS$6:$AS$39,0))</f>
        <v>0.131754022942759</v>
      </c>
      <c r="M14" s="11" t="str">
        <f aca="false">IFERROR(INDEX(Cases!$F$6:$F$10,MATCH(C14,Cases!$C$6:$C$10,0)),"")</f>
        <v/>
      </c>
    </row>
    <row r="15" customFormat="false" ht="15" hidden="false" customHeight="false" outlineLevel="0" collapsed="false">
      <c r="A15" s="10" t="n">
        <v>10</v>
      </c>
      <c r="B15" s="7" t="str">
        <f aca="false">INDEX(Scorecard!$A$6:$A$39,MATCH(10,Scorecard!$AS$6:$AS$39,0))</f>
        <v>Liberia</v>
      </c>
      <c r="C15" s="5" t="str">
        <f aca="false">INDEX(Scorecard!$B$6:$B$39,MATCH(10,Scorecard!$AS$6:$AS$39,0))</f>
        <v>LBR</v>
      </c>
      <c r="D15" s="11" t="n">
        <f aca="false">INDEX(Scorecard!$AC$6:$AC$39,MATCH(10,Scorecard!$AS$6:$AS$39,0))</f>
        <v>46.7209204393295</v>
      </c>
      <c r="E15" s="11" t="n">
        <f aca="false">INDEX(Scorecard!$AQ$6:$AQ$39,MATCH(10,Scorecard!$AS$6:$AS$39,0))</f>
        <v>61.9406612795795</v>
      </c>
      <c r="F15" s="15" t="n">
        <f aca="false">INDEX(Scorecard!$AR$6:$AR$39,MATCH(10,Scorecard!$AS$6:$AS$39,0))</f>
        <v>53.7952108240379</v>
      </c>
      <c r="G15" s="5" t="str">
        <f aca="false">INDEX(Scorecard!$AU$6:$AU$39,MATCH(10,Scorecard!$AS$6:$AS$39,0))</f>
        <v>Prioritise</v>
      </c>
      <c r="H15" s="13" t="n">
        <f aca="false">INDEX(Data!$E$6:$E$39,MATCH(10,Scorecard!$AS$6:$AS$39,0))</f>
        <v>0.475292537260812</v>
      </c>
      <c r="I15" s="13" t="n">
        <f aca="false">INDEX(Forecast!$J$6:$J$39,MATCH(10,Scorecard!$AS$6:$AS$39,0))</f>
        <v>0.725807011199837</v>
      </c>
      <c r="J15" s="14" t="n">
        <f aca="false">INDEX(Pools!$L$6:$L$39,MATCH(10,Scorecard!$AS$6:$AS$39,0))</f>
        <v>40.9094102136802</v>
      </c>
      <c r="K15" s="11" t="n">
        <f aca="false">INDEX(Pools!$R$6:$R$39,MATCH(10,Scorecard!$AS$6:$AS$39,0))</f>
        <v>2.92168303068462</v>
      </c>
      <c r="L15" s="13" t="n">
        <f aca="false">INDEX(Scorecard!$AT$6:$AT$39,MATCH(10,Scorecard!$AS$6:$AS$39,0))</f>
        <v>0.130967882924768</v>
      </c>
      <c r="M15" s="11" t="str">
        <f aca="false">IFERROR(INDEX(Cases!$F$6:$F$10,MATCH(C15,Cases!$C$6:$C$10,0)),"")</f>
        <v/>
      </c>
    </row>
    <row r="16" customFormat="false" ht="15" hidden="false" customHeight="false" outlineLevel="0" collapsed="false">
      <c r="A16" s="10" t="n">
        <v>11</v>
      </c>
      <c r="B16" s="7" t="str">
        <f aca="false">INDEX(Scorecard!$A$6:$A$39,MATCH(11,Scorecard!$AS$6:$AS$39,0))</f>
        <v>Ghana</v>
      </c>
      <c r="C16" s="5" t="str">
        <f aca="false">INDEX(Scorecard!$B$6:$B$39,MATCH(11,Scorecard!$AS$6:$AS$39,0))</f>
        <v>GHA</v>
      </c>
      <c r="D16" s="11" t="n">
        <f aca="false">INDEX(Scorecard!$AC$6:$AC$39,MATCH(11,Scorecard!$AS$6:$AS$39,0))</f>
        <v>39.3127837648709</v>
      </c>
      <c r="E16" s="11" t="n">
        <f aca="false">INDEX(Scorecard!$AQ$6:$AQ$39,MATCH(11,Scorecard!$AS$6:$AS$39,0))</f>
        <v>68.7449687338205</v>
      </c>
      <c r="F16" s="15" t="n">
        <f aca="false">INDEX(Scorecard!$AR$6:$AR$39,MATCH(11,Scorecard!$AS$6:$AS$39,0))</f>
        <v>51.986114403324</v>
      </c>
      <c r="G16" s="5" t="str">
        <f aca="false">INDEX(Scorecard!$AU$6:$AU$39,MATCH(11,Scorecard!$AS$6:$AS$39,0))</f>
        <v>Easy but small</v>
      </c>
      <c r="H16" s="13" t="n">
        <f aca="false">INDEX(Data!$E$6:$E$39,MATCH(11,Scorecard!$AS$6:$AS$39,0))</f>
        <v>0.782813635015091</v>
      </c>
      <c r="I16" s="13" t="n">
        <f aca="false">INDEX(Forecast!$J$6:$J$39,MATCH(11,Scorecard!$AS$6:$AS$39,0))</f>
        <v>0.91329134351478</v>
      </c>
      <c r="J16" s="14" t="n">
        <f aca="false">INDEX(Pools!$L$6:$L$39,MATCH(11,Scorecard!$AS$6:$AS$39,0))</f>
        <v>584.035766715018</v>
      </c>
      <c r="K16" s="11" t="n">
        <f aca="false">INDEX(Pools!$R$6:$R$39,MATCH(11,Scorecard!$AS$6:$AS$39,0))</f>
        <v>27.533691524197</v>
      </c>
      <c r="L16" s="13" t="n">
        <f aca="false">INDEX(Scorecard!$AT$6:$AT$39,MATCH(11,Scorecard!$AS$6:$AS$39,0))</f>
        <v>0.147333404768638</v>
      </c>
      <c r="M16" s="11" t="str">
        <f aca="false">IFERROR(INDEX(Cases!$F$6:$F$10,MATCH(C16,Cases!$C$6:$C$10,0)),"")</f>
        <v/>
      </c>
    </row>
    <row r="17" customFormat="false" ht="15" hidden="false" customHeight="false" outlineLevel="0" collapsed="false">
      <c r="A17" s="10" t="n">
        <v>12</v>
      </c>
      <c r="B17" s="7" t="str">
        <f aca="false">INDEX(Scorecard!$A$6:$A$39,MATCH(12,Scorecard!$AS$6:$AS$39,0))</f>
        <v>Guinea</v>
      </c>
      <c r="C17" s="5" t="str">
        <f aca="false">INDEX(Scorecard!$B$6:$B$39,MATCH(12,Scorecard!$AS$6:$AS$39,0))</f>
        <v>GIN</v>
      </c>
      <c r="D17" s="11" t="n">
        <f aca="false">INDEX(Scorecard!$AC$6:$AC$39,MATCH(12,Scorecard!$AS$6:$AS$39,0))</f>
        <v>45.6363153134888</v>
      </c>
      <c r="E17" s="11" t="n">
        <f aca="false">INDEX(Scorecard!$AQ$6:$AQ$39,MATCH(12,Scorecard!$AS$6:$AS$39,0))</f>
        <v>58.8256648200881</v>
      </c>
      <c r="F17" s="15" t="n">
        <f aca="false">INDEX(Scorecard!$AR$6:$AR$39,MATCH(12,Scorecard!$AS$6:$AS$39,0))</f>
        <v>51.8129963257786</v>
      </c>
      <c r="G17" s="5" t="str">
        <f aca="false">INDEX(Scorecard!$AU$6:$AU$39,MATCH(12,Scorecard!$AS$6:$AS$39,0))</f>
        <v>Prioritise</v>
      </c>
      <c r="H17" s="13" t="n">
        <f aca="false">INDEX(Data!$E$6:$E$39,MATCH(12,Scorecard!$AS$6:$AS$39,0))</f>
        <v>0.258219395095297</v>
      </c>
      <c r="I17" s="13" t="n">
        <f aca="false">INDEX(Forecast!$J$6:$J$39,MATCH(12,Scorecard!$AS$6:$AS$39,0))</f>
        <v>0.504279506007442</v>
      </c>
      <c r="J17" s="14" t="n">
        <f aca="false">INDEX(Pools!$L$6:$L$39,MATCH(12,Scorecard!$AS$6:$AS$39,0))</f>
        <v>79.5927186856283</v>
      </c>
      <c r="K17" s="11" t="n">
        <f aca="false">INDEX(Pools!$R$6:$R$39,MATCH(12,Scorecard!$AS$6:$AS$39,0))</f>
        <v>7.04819538764891</v>
      </c>
      <c r="L17" s="13" t="n">
        <f aca="false">INDEX(Scorecard!$AT$6:$AT$39,MATCH(12,Scorecard!$AS$6:$AS$39,0))</f>
        <v>0.13015186374065</v>
      </c>
      <c r="M17" s="11" t="str">
        <f aca="false">IFERROR(INDEX(Cases!$F$6:$F$10,MATCH(C17,Cases!$C$6:$C$10,0)),"")</f>
        <v/>
      </c>
    </row>
    <row r="18" customFormat="false" ht="15" hidden="false" customHeight="false" outlineLevel="0" collapsed="false">
      <c r="A18" s="10" t="n">
        <v>13</v>
      </c>
      <c r="B18" s="7" t="str">
        <f aca="false">INDEX(Scorecard!$A$6:$A$39,MATCH(13,Scorecard!$AS$6:$AS$39,0))</f>
        <v>Malawi</v>
      </c>
      <c r="C18" s="5" t="str">
        <f aca="false">INDEX(Scorecard!$B$6:$B$39,MATCH(13,Scorecard!$AS$6:$AS$39,0))</f>
        <v>MWI</v>
      </c>
      <c r="D18" s="11" t="n">
        <f aca="false">INDEX(Scorecard!$AC$6:$AC$39,MATCH(13,Scorecard!$AS$6:$AS$39,0))</f>
        <v>44.3754040195818</v>
      </c>
      <c r="E18" s="11" t="n">
        <f aca="false">INDEX(Scorecard!$AQ$6:$AQ$39,MATCH(13,Scorecard!$AS$6:$AS$39,0))</f>
        <v>57.5643927476352</v>
      </c>
      <c r="F18" s="15" t="n">
        <f aca="false">INDEX(Scorecard!$AR$6:$AR$39,MATCH(13,Scorecard!$AS$6:$AS$39,0))</f>
        <v>50.5414996346388</v>
      </c>
      <c r="G18" s="5" t="str">
        <f aca="false">INDEX(Scorecard!$AU$6:$AU$39,MATCH(13,Scorecard!$AS$6:$AS$39,0))</f>
        <v>Easy but small</v>
      </c>
      <c r="H18" s="13" t="n">
        <f aca="false">INDEX(Data!$E$6:$E$39,MATCH(13,Scorecard!$AS$6:$AS$39,0))</f>
        <v>0.473991978362086</v>
      </c>
      <c r="I18" s="13" t="n">
        <f aca="false">INDEX(Forecast!$J$6:$J$39,MATCH(13,Scorecard!$AS$6:$AS$39,0))</f>
        <v>0.724767816226123</v>
      </c>
      <c r="J18" s="14" t="n">
        <f aca="false">INDEX(Pools!$L$6:$L$39,MATCH(13,Scorecard!$AS$6:$AS$39,0))</f>
        <v>162.222233489657</v>
      </c>
      <c r="K18" s="11" t="n">
        <f aca="false">INDEX(Pools!$R$6:$R$39,MATCH(13,Scorecard!$AS$6:$AS$39,0))</f>
        <v>11.6022999529693</v>
      </c>
      <c r="L18" s="13" t="n">
        <f aca="false">INDEX(Scorecard!$AT$6:$AT$39,MATCH(13,Scorecard!$AS$6:$AS$39,0))</f>
        <v>0.147730606619273</v>
      </c>
      <c r="M18" s="11" t="str">
        <f aca="false">IFERROR(INDEX(Cases!$F$6:$F$10,MATCH(C18,Cases!$C$6:$C$10,0)),"")</f>
        <v/>
      </c>
    </row>
    <row r="19" customFormat="false" ht="15" hidden="false" customHeight="false" outlineLevel="0" collapsed="false">
      <c r="A19" s="10" t="n">
        <v>14</v>
      </c>
      <c r="B19" s="7" t="str">
        <f aca="false">INDEX(Scorecard!$A$6:$A$39,MATCH(14,Scorecard!$AS$6:$AS$39,0))</f>
        <v>Cameroon</v>
      </c>
      <c r="C19" s="5" t="str">
        <f aca="false">INDEX(Scorecard!$B$6:$B$39,MATCH(14,Scorecard!$AS$6:$AS$39,0))</f>
        <v>CMR</v>
      </c>
      <c r="D19" s="11" t="n">
        <f aca="false">INDEX(Scorecard!$AC$6:$AC$39,MATCH(14,Scorecard!$AS$6:$AS$39,0))</f>
        <v>48.1774787132868</v>
      </c>
      <c r="E19" s="11" t="n">
        <f aca="false">INDEX(Scorecard!$AQ$6:$AQ$39,MATCH(14,Scorecard!$AS$6:$AS$39,0))</f>
        <v>51.9235561410235</v>
      </c>
      <c r="F19" s="15" t="n">
        <f aca="false">INDEX(Scorecard!$AR$6:$AR$39,MATCH(14,Scorecard!$AS$6:$AS$39,0))</f>
        <v>50.0154578175819</v>
      </c>
      <c r="G19" s="5" t="str">
        <f aca="false">INDEX(Scorecard!$AU$6:$AU$39,MATCH(14,Scorecard!$AS$6:$AS$39,0))</f>
        <v>Big but hard</v>
      </c>
      <c r="H19" s="13" t="n">
        <f aca="false">INDEX(Data!$E$6:$E$39,MATCH(14,Scorecard!$AS$6:$AS$39,0))</f>
        <v>0.550654518411428</v>
      </c>
      <c r="I19" s="13" t="n">
        <f aca="false">INDEX(Forecast!$J$6:$J$39,MATCH(14,Scorecard!$AS$6:$AS$39,0))</f>
        <v>0.781713167119392</v>
      </c>
      <c r="J19" s="14" t="n">
        <f aca="false">INDEX(Pools!$L$6:$L$39,MATCH(14,Scorecard!$AS$6:$AS$39,0))</f>
        <v>330.660892855861</v>
      </c>
      <c r="K19" s="11" t="n">
        <f aca="false">INDEX(Pools!$R$6:$R$39,MATCH(14,Scorecard!$AS$6:$AS$39,0))</f>
        <v>21.6482298313175</v>
      </c>
      <c r="L19" s="13" t="n">
        <f aca="false">INDEX(Scorecard!$AT$6:$AT$39,MATCH(14,Scorecard!$AS$6:$AS$39,0))</f>
        <v>0.171391033537675</v>
      </c>
      <c r="M19" s="11" t="str">
        <f aca="false">IFERROR(INDEX(Cases!$F$6:$F$10,MATCH(C19,Cases!$C$6:$C$10,0)),"")</f>
        <v/>
      </c>
    </row>
    <row r="20" customFormat="false" ht="15" hidden="false" customHeight="false" outlineLevel="0" collapsed="false">
      <c r="A20" s="10" t="n">
        <v>15</v>
      </c>
      <c r="B20" s="7" t="str">
        <f aca="false">INDEX(Scorecard!$A$6:$A$39,MATCH(15,Scorecard!$AS$6:$AS$39,0))</f>
        <v>South Africa</v>
      </c>
      <c r="C20" s="5" t="str">
        <f aca="false">INDEX(Scorecard!$B$6:$B$39,MATCH(15,Scorecard!$AS$6:$AS$39,0))</f>
        <v>ZAF</v>
      </c>
      <c r="D20" s="11" t="n">
        <f aca="false">INDEX(Scorecard!$AC$6:$AC$39,MATCH(15,Scorecard!$AS$6:$AS$39,0))</f>
        <v>41.4562569551054</v>
      </c>
      <c r="E20" s="11" t="n">
        <f aca="false">INDEX(Scorecard!$AQ$6:$AQ$39,MATCH(15,Scorecard!$AS$6:$AS$39,0))</f>
        <v>58.5407525585188</v>
      </c>
      <c r="F20" s="15" t="n">
        <f aca="false">INDEX(Scorecard!$AR$6:$AR$39,MATCH(15,Scorecard!$AS$6:$AS$39,0))</f>
        <v>49.2633786946369</v>
      </c>
      <c r="G20" s="5" t="str">
        <f aca="false">INDEX(Scorecard!$AU$6:$AU$39,MATCH(15,Scorecard!$AS$6:$AS$39,0))</f>
        <v>Easy but small</v>
      </c>
      <c r="H20" s="13" t="n">
        <f aca="false">INDEX(Data!$E$6:$E$39,MATCH(15,Scorecard!$AS$6:$AS$39,0))</f>
        <v>0.31623201671299</v>
      </c>
      <c r="I20" s="13" t="n">
        <f aca="false">INDEX(Forecast!$J$6:$J$39,MATCH(15,Scorecard!$AS$6:$AS$39,0))</f>
        <v>0.574740701589818</v>
      </c>
      <c r="J20" s="14" t="n">
        <f aca="false">INDEX(Pools!$L$6:$L$39,MATCH(15,Scorecard!$AS$6:$AS$39,0))</f>
        <v>377.493922132558</v>
      </c>
      <c r="K20" s="11" t="n">
        <f aca="false">INDEX(Pools!$R$6:$R$39,MATCH(15,Scorecard!$AS$6:$AS$39,0))</f>
        <v>31.6996664449065</v>
      </c>
      <c r="L20" s="13" t="n">
        <f aca="false">INDEX(Scorecard!$AT$6:$AT$39,MATCH(15,Scorecard!$AS$6:$AS$39,0))</f>
        <v>0.137361491548666</v>
      </c>
      <c r="M20" s="11" t="str">
        <f aca="false">IFERROR(INDEX(Cases!$F$6:$F$10,MATCH(C20,Cases!$C$6:$C$10,0)),"")</f>
        <v/>
      </c>
    </row>
    <row r="21" customFormat="false" ht="15" hidden="false" customHeight="false" outlineLevel="0" collapsed="false">
      <c r="A21" s="10" t="n">
        <v>16</v>
      </c>
      <c r="B21" s="7" t="str">
        <f aca="false">INDEX(Scorecard!$A$6:$A$39,MATCH(16,Scorecard!$AS$6:$AS$39,0))</f>
        <v>Mozambique</v>
      </c>
      <c r="C21" s="5" t="str">
        <f aca="false">INDEX(Scorecard!$B$6:$B$39,MATCH(16,Scorecard!$AS$6:$AS$39,0))</f>
        <v>MOZ</v>
      </c>
      <c r="D21" s="11" t="n">
        <f aca="false">INDEX(Scorecard!$AC$6:$AC$39,MATCH(16,Scorecard!$AS$6:$AS$39,0))</f>
        <v>49.8455208317566</v>
      </c>
      <c r="E21" s="11" t="n">
        <f aca="false">INDEX(Scorecard!$AQ$6:$AQ$39,MATCH(16,Scorecard!$AS$6:$AS$39,0))</f>
        <v>46.423595877161</v>
      </c>
      <c r="F21" s="15" t="n">
        <f aca="false">INDEX(Scorecard!$AR$6:$AR$39,MATCH(16,Scorecard!$AS$6:$AS$39,0))</f>
        <v>48.104140314323</v>
      </c>
      <c r="G21" s="5" t="str">
        <f aca="false">INDEX(Scorecard!$AU$6:$AU$39,MATCH(16,Scorecard!$AS$6:$AS$39,0))</f>
        <v>Big but hard</v>
      </c>
      <c r="H21" s="13" t="n">
        <f aca="false">INDEX(Data!$E$6:$E$39,MATCH(16,Scorecard!$AS$6:$AS$39,0))</f>
        <v>0.457209859704018</v>
      </c>
      <c r="I21" s="13" t="n">
        <f aca="false">INDEX(Forecast!$J$6:$J$39,MATCH(16,Scorecard!$AS$6:$AS$39,0))</f>
        <v>0.711110198398334</v>
      </c>
      <c r="J21" s="14" t="n">
        <f aca="false">INDEX(Pools!$L$6:$L$39,MATCH(16,Scorecard!$AS$6:$AS$39,0))</f>
        <v>211.265684540985</v>
      </c>
      <c r="K21" s="11" t="n">
        <f aca="false">INDEX(Pools!$R$6:$R$39,MATCH(16,Scorecard!$AS$6:$AS$39,0))</f>
        <v>15.3898045243106</v>
      </c>
      <c r="L21" s="13" t="n">
        <f aca="false">INDEX(Scorecard!$AT$6:$AT$39,MATCH(16,Scorecard!$AS$6:$AS$39,0))</f>
        <v>0.169624384740003</v>
      </c>
      <c r="M21" s="11" t="str">
        <f aca="false">IFERROR(INDEX(Cases!$F$6:$F$10,MATCH(C21,Cases!$C$6:$C$10,0)),"")</f>
        <v/>
      </c>
    </row>
    <row r="22" customFormat="false" ht="15" hidden="false" customHeight="false" outlineLevel="0" collapsed="false">
      <c r="A22" s="10" t="n">
        <v>17</v>
      </c>
      <c r="B22" s="7" t="str">
        <f aca="false">INDEX(Scorecard!$A$6:$A$39,MATCH(17,Scorecard!$AS$6:$AS$39,0))</f>
        <v>Mali</v>
      </c>
      <c r="C22" s="5" t="str">
        <f aca="false">INDEX(Scorecard!$B$6:$B$39,MATCH(17,Scorecard!$AS$6:$AS$39,0))</f>
        <v>MLI</v>
      </c>
      <c r="D22" s="11" t="n">
        <f aca="false">INDEX(Scorecard!$AC$6:$AC$39,MATCH(17,Scorecard!$AS$6:$AS$39,0))</f>
        <v>50.1129313304442</v>
      </c>
      <c r="E22" s="11" t="n">
        <f aca="false">INDEX(Scorecard!$AQ$6:$AQ$39,MATCH(17,Scorecard!$AS$6:$AS$39,0))</f>
        <v>45.0489616941059</v>
      </c>
      <c r="F22" s="15" t="n">
        <f aca="false">INDEX(Scorecard!$AR$6:$AR$39,MATCH(17,Scorecard!$AS$6:$AS$39,0))</f>
        <v>47.5135299034343</v>
      </c>
      <c r="G22" s="5" t="str">
        <f aca="false">INDEX(Scorecard!$AU$6:$AU$39,MATCH(17,Scorecard!$AS$6:$AS$39,0))</f>
        <v>Big but hard</v>
      </c>
      <c r="H22" s="13" t="n">
        <f aca="false">INDEX(Data!$E$6:$E$39,MATCH(17,Scorecard!$AS$6:$AS$39,0))</f>
        <v>0.483876158762192</v>
      </c>
      <c r="I22" s="13" t="n">
        <f aca="false">INDEX(Forecast!$J$6:$J$39,MATCH(17,Scorecard!$AS$6:$AS$39,0))</f>
        <v>0.732598128690302</v>
      </c>
      <c r="J22" s="14" t="n">
        <f aca="false">INDEX(Pools!$L$6:$L$39,MATCH(17,Scorecard!$AS$6:$AS$39,0))</f>
        <v>198.025767738492</v>
      </c>
      <c r="K22" s="11" t="n">
        <f aca="false">INDEX(Pools!$R$6:$R$39,MATCH(17,Scorecard!$AS$6:$AS$39,0))</f>
        <v>14.0085019197231</v>
      </c>
      <c r="L22" s="13" t="n">
        <f aca="false">INDEX(Scorecard!$AT$6:$AT$39,MATCH(17,Scorecard!$AS$6:$AS$39,0))</f>
        <v>0.169144967890617</v>
      </c>
      <c r="M22" s="11" t="str">
        <f aca="false">IFERROR(INDEX(Cases!$F$6:$F$10,MATCH(C22,Cases!$C$6:$C$10,0)),"")</f>
        <v/>
      </c>
    </row>
    <row r="23" customFormat="false" ht="15" hidden="false" customHeight="false" outlineLevel="0" collapsed="false">
      <c r="A23" s="10" t="n">
        <v>18</v>
      </c>
      <c r="B23" s="7" t="str">
        <f aca="false">INDEX(Scorecard!$A$6:$A$39,MATCH(18,Scorecard!$AS$6:$AS$39,0))</f>
        <v>Sierra Leone</v>
      </c>
      <c r="C23" s="5" t="str">
        <f aca="false">INDEX(Scorecard!$B$6:$B$39,MATCH(18,Scorecard!$AS$6:$AS$39,0))</f>
        <v>SLE</v>
      </c>
      <c r="D23" s="11" t="n">
        <f aca="false">INDEX(Scorecard!$AC$6:$AC$39,MATCH(18,Scorecard!$AS$6:$AS$39,0))</f>
        <v>41.2338959471284</v>
      </c>
      <c r="E23" s="11" t="n">
        <f aca="false">INDEX(Scorecard!$AQ$6:$AQ$39,MATCH(18,Scorecard!$AS$6:$AS$39,0))</f>
        <v>53.3567991249364</v>
      </c>
      <c r="F23" s="15" t="n">
        <f aca="false">INDEX(Scorecard!$AR$6:$AR$39,MATCH(18,Scorecard!$AS$6:$AS$39,0))</f>
        <v>46.9053163638138</v>
      </c>
      <c r="G23" s="5" t="str">
        <f aca="false">INDEX(Scorecard!$AU$6:$AU$39,MATCH(18,Scorecard!$AS$6:$AS$39,0))</f>
        <v>Deprioritise</v>
      </c>
      <c r="H23" s="13" t="n">
        <f aca="false">INDEX(Data!$E$6:$E$39,MATCH(18,Scorecard!$AS$6:$AS$39,0))</f>
        <v>0.321957258314931</v>
      </c>
      <c r="I23" s="13" t="n">
        <f aca="false">INDEX(Forecast!$J$6:$J$39,MATCH(18,Scorecard!$AS$6:$AS$39,0))</f>
        <v>0.581168207777244</v>
      </c>
      <c r="J23" s="14" t="n">
        <f aca="false">INDEX(Pools!$L$6:$L$39,MATCH(18,Scorecard!$AS$6:$AS$39,0))</f>
        <v>58.9452391911679</v>
      </c>
      <c r="K23" s="11" t="n">
        <f aca="false">INDEX(Pools!$R$6:$R$39,MATCH(18,Scorecard!$AS$6:$AS$39,0))</f>
        <v>4.92322722111416</v>
      </c>
      <c r="L23" s="13" t="n">
        <f aca="false">INDEX(Scorecard!$AT$6:$AT$39,MATCH(18,Scorecard!$AS$6:$AS$39,0))</f>
        <v>0.148932043331613</v>
      </c>
      <c r="M23" s="11" t="str">
        <f aca="false">IFERROR(INDEX(Cases!$F$6:$F$10,MATCH(C23,Cases!$C$6:$C$10,0)),"")</f>
        <v/>
      </c>
    </row>
    <row r="24" customFormat="false" ht="15" hidden="false" customHeight="false" outlineLevel="0" collapsed="false">
      <c r="A24" s="10" t="n">
        <v>19</v>
      </c>
      <c r="B24" s="7" t="str">
        <f aca="false">INDEX(Scorecard!$A$6:$A$39,MATCH(19,Scorecard!$AS$6:$AS$39,0))</f>
        <v>Congo, Rep.</v>
      </c>
      <c r="C24" s="5" t="str">
        <f aca="false">INDEX(Scorecard!$B$6:$B$39,MATCH(19,Scorecard!$AS$6:$AS$39,0))</f>
        <v>COG</v>
      </c>
      <c r="D24" s="11" t="n">
        <f aca="false">INDEX(Scorecard!$AC$6:$AC$39,MATCH(19,Scorecard!$AS$6:$AS$39,0))</f>
        <v>36.9476652873485</v>
      </c>
      <c r="E24" s="11" t="n">
        <f aca="false">INDEX(Scorecard!$AQ$6:$AQ$39,MATCH(19,Scorecard!$AS$6:$AS$39,0))</f>
        <v>59.2939131884125</v>
      </c>
      <c r="F24" s="15" t="n">
        <f aca="false">INDEX(Scorecard!$AR$6:$AR$39,MATCH(19,Scorecard!$AS$6:$AS$39,0))</f>
        <v>46.805679762851</v>
      </c>
      <c r="G24" s="5" t="str">
        <f aca="false">INDEX(Scorecard!$AU$6:$AU$39,MATCH(19,Scorecard!$AS$6:$AS$39,0))</f>
        <v>Easy but small</v>
      </c>
      <c r="H24" s="13" t="n">
        <f aca="false">INDEX(Data!$E$6:$E$39,MATCH(19,Scorecard!$AS$6:$AS$39,0))</f>
        <v>0.515921177135768</v>
      </c>
      <c r="I24" s="13" t="n">
        <f aca="false">INDEX(Forecast!$J$6:$J$39,MATCH(19,Scorecard!$AS$6:$AS$39,0))</f>
        <v>0.756957100835674</v>
      </c>
      <c r="J24" s="14" t="n">
        <f aca="false">INDEX(Pools!$L$6:$L$39,MATCH(19,Scorecard!$AS$6:$AS$39,0))</f>
        <v>77.6356063134308</v>
      </c>
      <c r="K24" s="11" t="n">
        <f aca="false">INDEX(Pools!$R$6:$R$39,MATCH(19,Scorecard!$AS$6:$AS$39,0))</f>
        <v>5.29562522029957</v>
      </c>
      <c r="L24" s="13" t="n">
        <f aca="false">INDEX(Scorecard!$AT$6:$AT$39,MATCH(19,Scorecard!$AS$6:$AS$39,0))</f>
        <v>0.157819910680324</v>
      </c>
      <c r="M24" s="11" t="str">
        <f aca="false">IFERROR(INDEX(Cases!$F$6:$F$10,MATCH(C24,Cases!$C$6:$C$10,0)),"")</f>
        <v/>
      </c>
    </row>
    <row r="25" customFormat="false" ht="15" hidden="false" customHeight="false" outlineLevel="0" collapsed="false">
      <c r="A25" s="10" t="n">
        <v>20</v>
      </c>
      <c r="B25" s="7" t="str">
        <f aca="false">INDEX(Scorecard!$A$6:$A$39,MATCH(20,Scorecard!$AS$6:$AS$39,0))</f>
        <v>Nigeria</v>
      </c>
      <c r="C25" s="5" t="str">
        <f aca="false">INDEX(Scorecard!$B$6:$B$39,MATCH(20,Scorecard!$AS$6:$AS$39,0))</f>
        <v>NGA</v>
      </c>
      <c r="D25" s="11" t="n">
        <f aca="false">INDEX(Scorecard!$AC$6:$AC$39,MATCH(20,Scorecard!$AS$6:$AS$39,0))</f>
        <v>68.7314232162039</v>
      </c>
      <c r="E25" s="11" t="n">
        <f aca="false">INDEX(Scorecard!$AQ$6:$AQ$39,MATCH(20,Scorecard!$AS$6:$AS$39,0))</f>
        <v>30.4976628134521</v>
      </c>
      <c r="F25" s="15" t="n">
        <f aca="false">INDEX(Scorecard!$AR$6:$AR$39,MATCH(20,Scorecard!$AS$6:$AS$39,0))</f>
        <v>45.7837063805068</v>
      </c>
      <c r="G25" s="5" t="str">
        <f aca="false">INDEX(Scorecard!$AU$6:$AU$39,MATCH(20,Scorecard!$AS$6:$AS$39,0))</f>
        <v>Big but hard</v>
      </c>
      <c r="H25" s="13" t="n">
        <f aca="false">INDEX(Data!$E$6:$E$39,MATCH(20,Scorecard!$AS$6:$AS$39,0))</f>
        <v>0.327907521346508</v>
      </c>
      <c r="I25" s="13" t="n">
        <f aca="false">INDEX(Forecast!$J$6:$J$39,MATCH(20,Scorecard!$AS$6:$AS$39,0))</f>
        <v>0.587756376365401</v>
      </c>
      <c r="J25" s="14" t="n">
        <f aca="false">INDEX(Pools!$L$6:$L$39,MATCH(20,Scorecard!$AS$6:$AS$39,0))</f>
        <v>1320.97118916783</v>
      </c>
      <c r="K25" s="11" t="n">
        <f aca="false">INDEX(Pools!$R$6:$R$39,MATCH(20,Scorecard!$AS$6:$AS$39,0))</f>
        <v>109.7097741479</v>
      </c>
      <c r="L25" s="13" t="n">
        <f aca="false">INDEX(Scorecard!$AT$6:$AT$39,MATCH(20,Scorecard!$AS$6:$AS$39,0))</f>
        <v>0.189584284809277</v>
      </c>
      <c r="M25" s="11" t="str">
        <f aca="false">IFERROR(INDEX(Cases!$F$6:$F$10,MATCH(C25,Cases!$C$6:$C$10,0)),"")</f>
        <v/>
      </c>
    </row>
    <row r="26" customFormat="false" ht="15" hidden="false" customHeight="false" outlineLevel="0" collapsed="false">
      <c r="A26" s="10" t="n">
        <v>21</v>
      </c>
      <c r="B26" s="7" t="str">
        <f aca="false">INDEX(Scorecard!$A$6:$A$39,MATCH(21,Scorecard!$AS$6:$AS$39,0))</f>
        <v>Burkina Faso</v>
      </c>
      <c r="C26" s="5" t="str">
        <f aca="false">INDEX(Scorecard!$B$6:$B$39,MATCH(21,Scorecard!$AS$6:$AS$39,0))</f>
        <v>BFA</v>
      </c>
      <c r="D26" s="11" t="n">
        <f aca="false">INDEX(Scorecard!$AC$6:$AC$39,MATCH(21,Scorecard!$AS$6:$AS$39,0))</f>
        <v>46.8360397673499</v>
      </c>
      <c r="E26" s="11" t="n">
        <f aca="false">INDEX(Scorecard!$AQ$6:$AQ$39,MATCH(21,Scorecard!$AS$6:$AS$39,0))</f>
        <v>38.7599297014298</v>
      </c>
      <c r="F26" s="15" t="n">
        <f aca="false">INDEX(Scorecard!$AR$6:$AR$39,MATCH(21,Scorecard!$AS$6:$AS$39,0))</f>
        <v>42.6070605519303</v>
      </c>
      <c r="G26" s="5" t="str">
        <f aca="false">INDEX(Scorecard!$AU$6:$AU$39,MATCH(21,Scorecard!$AS$6:$AS$39,0))</f>
        <v>Big but hard</v>
      </c>
      <c r="H26" s="13" t="n">
        <f aca="false">INDEX(Data!$E$6:$E$39,MATCH(21,Scorecard!$AS$6:$AS$39,0))</f>
        <v>0.441573641486017</v>
      </c>
      <c r="I26" s="13" t="n">
        <f aca="false">INDEX(Forecast!$J$6:$J$39,MATCH(21,Scorecard!$AS$6:$AS$39,0))</f>
        <v>0.69795622299143</v>
      </c>
      <c r="J26" s="14" t="n">
        <f aca="false">INDEX(Pools!$L$6:$L$39,MATCH(21,Scorecard!$AS$6:$AS$39,0))</f>
        <v>174.908156956075</v>
      </c>
      <c r="K26" s="11" t="n">
        <f aca="false">INDEX(Pools!$R$6:$R$39,MATCH(21,Scorecard!$AS$6:$AS$39,0))</f>
        <v>12.9571961347853</v>
      </c>
      <c r="L26" s="13" t="n">
        <f aca="false">INDEX(Scorecard!$AT$6:$AT$39,MATCH(21,Scorecard!$AS$6:$AS$39,0))</f>
        <v>0.172259205628456</v>
      </c>
      <c r="M26" s="11" t="str">
        <f aca="false">IFERROR(INDEX(Cases!$F$6:$F$10,MATCH(C26,Cases!$C$6:$C$10,0)),"")</f>
        <v/>
      </c>
    </row>
    <row r="27" customFormat="false" ht="15" hidden="false" customHeight="false" outlineLevel="0" collapsed="false">
      <c r="A27" s="10" t="n">
        <v>22</v>
      </c>
      <c r="B27" s="7" t="str">
        <f aca="false">INDEX(Scorecard!$A$6:$A$39,MATCH(22,Scorecard!$AS$6:$AS$39,0))</f>
        <v>Chad</v>
      </c>
      <c r="C27" s="5" t="str">
        <f aca="false">INDEX(Scorecard!$B$6:$B$39,MATCH(22,Scorecard!$AS$6:$AS$39,0))</f>
        <v>TCD</v>
      </c>
      <c r="D27" s="11" t="n">
        <f aca="false">INDEX(Scorecard!$AC$6:$AC$39,MATCH(22,Scorecard!$AS$6:$AS$39,0))</f>
        <v>44.9529034570795</v>
      </c>
      <c r="E27" s="11" t="n">
        <f aca="false">INDEX(Scorecard!$AQ$6:$AQ$39,MATCH(22,Scorecard!$AS$6:$AS$39,0))</f>
        <v>35.6261080811741</v>
      </c>
      <c r="F27" s="15" t="n">
        <f aca="false">INDEX(Scorecard!$AR$6:$AR$39,MATCH(22,Scorecard!$AS$6:$AS$39,0))</f>
        <v>40.0187080891488</v>
      </c>
      <c r="G27" s="5" t="str">
        <f aca="false">INDEX(Scorecard!$AU$6:$AU$39,MATCH(22,Scorecard!$AS$6:$AS$39,0))</f>
        <v>Deprioritise</v>
      </c>
      <c r="H27" s="13" t="n">
        <f aca="false">INDEX(Data!$E$6:$E$39,MATCH(22,Scorecard!$AS$6:$AS$39,0))</f>
        <v>0.133358944308869</v>
      </c>
      <c r="I27" s="13" t="n">
        <f aca="false">INDEX(Forecast!$J$6:$J$39,MATCH(22,Scorecard!$AS$6:$AS$39,0))</f>
        <v>0.310192779837814</v>
      </c>
      <c r="J27" s="14" t="n">
        <f aca="false">INDEX(Pools!$L$6:$L$39,MATCH(22,Scorecard!$AS$6:$AS$39,0))</f>
        <v>51.5570079685938</v>
      </c>
      <c r="K27" s="11" t="n">
        <f aca="false">INDEX(Pools!$R$6:$R$39,MATCH(22,Scorecard!$AS$6:$AS$39,0))</f>
        <v>5.07368729078018</v>
      </c>
      <c r="L27" s="13" t="n">
        <f aca="false">INDEX(Scorecard!$AT$6:$AT$39,MATCH(22,Scorecard!$AS$6:$AS$39,0))</f>
        <v>0.154642621936418</v>
      </c>
      <c r="M27" s="11" t="str">
        <f aca="false">IFERROR(INDEX(Cases!$F$6:$F$10,MATCH(C27,Cases!$C$6:$C$10,0)),"")</f>
        <v/>
      </c>
    </row>
    <row r="28" customFormat="false" ht="15" hidden="false" customHeight="false" outlineLevel="0" collapsed="false">
      <c r="A28" s="10" t="n">
        <v>23</v>
      </c>
      <c r="B28" s="7" t="str">
        <f aca="false">INDEX(Scorecard!$A$6:$A$39,MATCH(23,Scorecard!$AS$6:$AS$39,0))</f>
        <v>Ethiopia</v>
      </c>
      <c r="C28" s="5" t="str">
        <f aca="false">INDEX(Scorecard!$B$6:$B$39,MATCH(23,Scorecard!$AS$6:$AS$39,0))</f>
        <v>ETH</v>
      </c>
      <c r="D28" s="11" t="n">
        <f aca="false">INDEX(Scorecard!$AC$6:$AC$39,MATCH(23,Scorecard!$AS$6:$AS$39,0))</f>
        <v>58.1262833304837</v>
      </c>
      <c r="E28" s="11" t="n">
        <f aca="false">INDEX(Scorecard!$AQ$6:$AQ$39,MATCH(23,Scorecard!$AS$6:$AS$39,0))</f>
        <v>26.9199816709826</v>
      </c>
      <c r="F28" s="15" t="n">
        <f aca="false">INDEX(Scorecard!$AR$6:$AR$39,MATCH(23,Scorecard!$AS$6:$AS$39,0))</f>
        <v>39.5570282233001</v>
      </c>
      <c r="G28" s="5" t="str">
        <f aca="false">INDEX(Scorecard!$AU$6:$AU$39,MATCH(23,Scorecard!$AS$6:$AS$39,0))</f>
        <v>Big but hard</v>
      </c>
      <c r="H28" s="13" t="n">
        <f aca="false">INDEX(Data!$E$6:$E$39,MATCH(23,Scorecard!$AS$6:$AS$39,0))</f>
        <v>0.0945488963590303</v>
      </c>
      <c r="I28" s="13" t="n">
        <f aca="false">INDEX(Forecast!$J$6:$J$39,MATCH(23,Scorecard!$AS$6:$AS$39,0))</f>
        <v>0.233804191442453</v>
      </c>
      <c r="J28" s="14" t="n">
        <f aca="false">INDEX(Pools!$L$6:$L$39,MATCH(23,Scorecard!$AS$6:$AS$39,0))</f>
        <v>103.899102155023</v>
      </c>
      <c r="K28" s="11" t="n">
        <f aca="false">INDEX(Pools!$R$6:$R$39,MATCH(23,Scorecard!$AS$6:$AS$39,0))</f>
        <v>10.542930678278</v>
      </c>
      <c r="L28" s="13" t="n">
        <f aca="false">INDEX(Scorecard!$AT$6:$AT$39,MATCH(23,Scorecard!$AS$6:$AS$39,0))</f>
        <v>0.179339659223124</v>
      </c>
      <c r="M28" s="11" t="str">
        <f aca="false">IFERROR(INDEX(Cases!$F$6:$F$10,MATCH(C28,Cases!$C$6:$C$10,0)),"")</f>
        <v/>
      </c>
    </row>
    <row r="29" customFormat="false" ht="15" hidden="false" customHeight="false" outlineLevel="0" collapsed="false">
      <c r="A29" s="10" t="n">
        <v>24</v>
      </c>
      <c r="B29" s="7" t="str">
        <f aca="false">INDEX(Scorecard!$A$6:$A$39,MATCH(24,Scorecard!$AS$6:$AS$39,0))</f>
        <v>Zimbabwe</v>
      </c>
      <c r="C29" s="5" t="str">
        <f aca="false">INDEX(Scorecard!$B$6:$B$39,MATCH(24,Scorecard!$AS$6:$AS$39,0))</f>
        <v>ZWE</v>
      </c>
      <c r="D29" s="11" t="n">
        <f aca="false">INDEX(Scorecard!$AC$6:$AC$39,MATCH(24,Scorecard!$AS$6:$AS$39,0))</f>
        <v>42.6405378027299</v>
      </c>
      <c r="E29" s="11" t="n">
        <f aca="false">INDEX(Scorecard!$AQ$6:$AQ$39,MATCH(24,Scorecard!$AS$6:$AS$39,0))</f>
        <v>35.8569248477788</v>
      </c>
      <c r="F29" s="15" t="n">
        <f aca="false">INDEX(Scorecard!$AR$6:$AR$39,MATCH(24,Scorecard!$AS$6:$AS$39,0))</f>
        <v>39.1018996912088</v>
      </c>
      <c r="G29" s="5" t="str">
        <f aca="false">INDEX(Scorecard!$AU$6:$AU$39,MATCH(24,Scorecard!$AS$6:$AS$39,0))</f>
        <v>Deprioritise</v>
      </c>
      <c r="H29" s="13" t="n">
        <f aca="false">INDEX(Data!$E$6:$E$39,MATCH(24,Scorecard!$AS$6:$AS$39,0))</f>
        <v>0.433317368740992</v>
      </c>
      <c r="I29" s="13" t="n">
        <f aca="false">INDEX(Forecast!$J$6:$J$39,MATCH(24,Scorecard!$AS$6:$AS$39,0))</f>
        <v>0.690836595808105</v>
      </c>
      <c r="J29" s="14" t="n">
        <f aca="false">INDEX(Pools!$L$6:$L$39,MATCH(24,Scorecard!$AS$6:$AS$39,0))</f>
        <v>159.415888565654</v>
      </c>
      <c r="K29" s="11" t="n">
        <f aca="false">INDEX(Pools!$R$6:$R$39,MATCH(24,Scorecard!$AS$6:$AS$39,0))</f>
        <v>11.9134231044646</v>
      </c>
      <c r="L29" s="13" t="n">
        <f aca="false">INDEX(Scorecard!$AT$6:$AT$39,MATCH(24,Scorecard!$AS$6:$AS$39,0))</f>
        <v>0.177661999564186</v>
      </c>
      <c r="M29" s="11" t="str">
        <f aca="false">IFERROR(INDEX(Cases!$F$6:$F$10,MATCH(C29,Cases!$C$6:$C$10,0)),"")</f>
        <v/>
      </c>
    </row>
    <row r="30" customFormat="false" ht="15" hidden="false" customHeight="false" outlineLevel="0" collapsed="false">
      <c r="A30" s="10" t="n">
        <v>25</v>
      </c>
      <c r="B30" s="7" t="str">
        <f aca="false">INDEX(Scorecard!$A$6:$A$39,MATCH(25,Scorecard!$AS$6:$AS$39,0))</f>
        <v>Niger</v>
      </c>
      <c r="C30" s="5" t="str">
        <f aca="false">INDEX(Scorecard!$B$6:$B$39,MATCH(25,Scorecard!$AS$6:$AS$39,0))</f>
        <v>NER</v>
      </c>
      <c r="D30" s="11" t="n">
        <f aca="false">INDEX(Scorecard!$AC$6:$AC$39,MATCH(25,Scorecard!$AS$6:$AS$39,0))</f>
        <v>45.0332866764229</v>
      </c>
      <c r="E30" s="11" t="n">
        <f aca="false">INDEX(Scorecard!$AQ$6:$AQ$39,MATCH(25,Scorecard!$AS$6:$AS$39,0))</f>
        <v>25.2951146290647</v>
      </c>
      <c r="F30" s="15" t="n">
        <f aca="false">INDEX(Scorecard!$AR$6:$AR$39,MATCH(25,Scorecard!$AS$6:$AS$39,0))</f>
        <v>33.7508836714485</v>
      </c>
      <c r="G30" s="5" t="str">
        <f aca="false">INDEX(Scorecard!$AU$6:$AU$39,MATCH(25,Scorecard!$AS$6:$AS$39,0))</f>
        <v>Deprioritise</v>
      </c>
      <c r="H30" s="13" t="n">
        <f aca="false">INDEX(Data!$E$6:$E$39,MATCH(25,Scorecard!$AS$6:$AS$39,0))</f>
        <v>0.0570037064304953</v>
      </c>
      <c r="I30" s="13" t="n">
        <f aca="false">INDEX(Forecast!$J$6:$J$39,MATCH(25,Scorecard!$AS$6:$AS$39,0))</f>
        <v>0.150129759934017</v>
      </c>
      <c r="J30" s="14" t="n">
        <f aca="false">INDEX(Pools!$L$6:$L$39,MATCH(25,Scorecard!$AS$6:$AS$39,0))</f>
        <v>16.5608305676065</v>
      </c>
      <c r="K30" s="11" t="n">
        <f aca="false">INDEX(Pools!$R$6:$R$39,MATCH(25,Scorecard!$AS$6:$AS$39,0))</f>
        <v>1.72955435922234</v>
      </c>
      <c r="L30" s="13" t="n">
        <f aca="false">INDEX(Scorecard!$AT$6:$AT$39,MATCH(25,Scorecard!$AS$6:$AS$39,0))</f>
        <v>0.163098588102957</v>
      </c>
      <c r="M30" s="11" t="str">
        <f aca="false">IFERROR(INDEX(Cases!$F$6:$F$10,MATCH(C30,Cases!$C$6:$C$10,0)),"")</f>
        <v/>
      </c>
    </row>
    <row r="32" customFormat="false" ht="15" hidden="false" customHeight="false" outlineLevel="0" collapsed="false">
      <c r="A32" s="7" t="s">
        <v>48</v>
      </c>
    </row>
    <row r="33" customFormat="false" ht="15" hidden="false" customHeight="false" outlineLevel="0" collapsed="false">
      <c r="A33" s="5" t="s">
        <v>49</v>
      </c>
      <c r="D33" s="13" t="n">
        <f aca="false">INDEX(Data!$E$6:$E$39,MATCH("KEN",Data!$B$6:$B$39,0))</f>
        <v>0.874994112747318</v>
      </c>
    </row>
    <row r="34" customFormat="false" ht="15" hidden="false" customHeight="false" outlineLevel="0" collapsed="false">
      <c r="A34" s="5" t="s">
        <v>50</v>
      </c>
      <c r="D34" s="16" t="n">
        <f aca="false">SUM(Data!AB6:AB39)</f>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D4"/>
    <pageSetUpPr fitToPage="false"/>
  </sheetPr>
  <dimension ref="A1:G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4"/>
    <col collapsed="false" customWidth="true" hidden="false" outlineLevel="0" max="3" min="3" style="0" width="11"/>
    <col collapsed="false" customWidth="true" hidden="false" outlineLevel="0" max="4" min="4" style="0" width="13"/>
    <col collapsed="false" customWidth="true" hidden="false" outlineLevel="0" max="5" min="5" style="0" width="11"/>
    <col collapsed="false" customWidth="true" hidden="false" outlineLevel="0" max="6" min="6" style="0" width="8"/>
    <col collapsed="false" customWidth="true" hidden="false" outlineLevel="0" max="7" min="7" style="0" width="100"/>
  </cols>
  <sheetData>
    <row r="1" customFormat="false" ht="17.35" hidden="false" customHeight="false" outlineLevel="0" collapsed="false">
      <c r="A1" s="1" t="s">
        <v>51</v>
      </c>
    </row>
    <row r="2" customFormat="false" ht="15" hidden="false" customHeight="false" outlineLevel="0" collapsed="false">
      <c r="A2" s="2" t="s">
        <v>52</v>
      </c>
    </row>
    <row r="4" customFormat="false" ht="42" hidden="false" customHeight="true" outlineLevel="0" collapsed="false">
      <c r="A4" s="9" t="s">
        <v>53</v>
      </c>
      <c r="B4" s="9" t="s">
        <v>54</v>
      </c>
      <c r="C4" s="9" t="s">
        <v>55</v>
      </c>
      <c r="D4" s="9" t="s">
        <v>56</v>
      </c>
      <c r="E4" s="9" t="s">
        <v>57</v>
      </c>
      <c r="F4" s="9" t="s">
        <v>58</v>
      </c>
      <c r="G4" s="9" t="s">
        <v>59</v>
      </c>
    </row>
    <row r="5" customFormat="false" ht="15" hidden="false" customHeight="false" outlineLevel="0" collapsed="false">
      <c r="A5" s="3" t="s">
        <v>60</v>
      </c>
      <c r="B5" s="3"/>
      <c r="C5" s="3"/>
      <c r="D5" s="3"/>
      <c r="E5" s="3"/>
      <c r="F5" s="3"/>
      <c r="G5" s="3"/>
    </row>
    <row r="6" customFormat="false" ht="15" hidden="false" customHeight="false" outlineLevel="0" collapsed="false">
      <c r="A6" s="5" t="s">
        <v>61</v>
      </c>
      <c r="B6" s="5" t="s">
        <v>62</v>
      </c>
      <c r="D6" s="17" t="n">
        <v>2024</v>
      </c>
      <c r="F6" s="18" t="s">
        <v>63</v>
      </c>
      <c r="G6" s="19" t="s">
        <v>64</v>
      </c>
    </row>
    <row r="7" customFormat="false" ht="15" hidden="false" customHeight="false" outlineLevel="0" collapsed="false">
      <c r="A7" s="5" t="s">
        <v>65</v>
      </c>
      <c r="B7" s="5" t="s">
        <v>62</v>
      </c>
      <c r="D7" s="17" t="n">
        <v>2030</v>
      </c>
      <c r="F7" s="18" t="s">
        <v>66</v>
      </c>
      <c r="G7" s="19" t="s">
        <v>67</v>
      </c>
    </row>
    <row r="8" customFormat="false" ht="15" hidden="false" customHeight="false" outlineLevel="0" collapsed="false">
      <c r="A8" s="5" t="s">
        <v>68</v>
      </c>
      <c r="B8" s="5" t="s">
        <v>69</v>
      </c>
      <c r="D8" s="16" t="n">
        <f aca="false">D7-D6</f>
        <v>6</v>
      </c>
      <c r="F8" s="18" t="s">
        <v>70</v>
      </c>
      <c r="G8" s="19"/>
    </row>
    <row r="9" customFormat="false" ht="15" hidden="false" customHeight="false" outlineLevel="0" collapsed="false">
      <c r="A9" s="5" t="s">
        <v>71</v>
      </c>
      <c r="B9" s="5" t="s">
        <v>72</v>
      </c>
      <c r="D9" s="20" t="n">
        <v>0.92</v>
      </c>
      <c r="F9" s="18" t="s">
        <v>66</v>
      </c>
      <c r="G9" s="19" t="s">
        <v>73</v>
      </c>
    </row>
    <row r="10" customFormat="false" ht="15" hidden="false" customHeight="false" outlineLevel="0" collapsed="false">
      <c r="A10" s="5" t="s">
        <v>74</v>
      </c>
      <c r="B10" s="5" t="s">
        <v>75</v>
      </c>
      <c r="D10" s="21" t="n">
        <v>3000000</v>
      </c>
      <c r="F10" s="18" t="s">
        <v>66</v>
      </c>
      <c r="G10" s="19" t="s">
        <v>76</v>
      </c>
    </row>
    <row r="11" customFormat="false" ht="15" hidden="false" customHeight="false" outlineLevel="0" collapsed="false">
      <c r="A11" s="5" t="s">
        <v>77</v>
      </c>
      <c r="B11" s="5" t="s">
        <v>78</v>
      </c>
      <c r="D11" s="22" t="n">
        <v>0.17872706143761</v>
      </c>
      <c r="F11" s="18" t="s">
        <v>79</v>
      </c>
      <c r="G11" s="19" t="s">
        <v>80</v>
      </c>
    </row>
    <row r="12" customFormat="false" ht="15" hidden="false" customHeight="false" outlineLevel="0" collapsed="false">
      <c r="A12" s="5" t="s">
        <v>81</v>
      </c>
      <c r="B12" s="5" t="s">
        <v>82</v>
      </c>
      <c r="D12" s="23" t="n">
        <v>0</v>
      </c>
      <c r="F12" s="18" t="s">
        <v>79</v>
      </c>
      <c r="G12" s="19" t="s">
        <v>83</v>
      </c>
    </row>
    <row r="13" customFormat="false" ht="15" hidden="false" customHeight="false" outlineLevel="0" collapsed="false">
      <c r="A13" s="5" t="s">
        <v>84</v>
      </c>
      <c r="B13" s="5" t="s">
        <v>78</v>
      </c>
      <c r="D13" s="24" t="n">
        <v>0</v>
      </c>
      <c r="F13" s="18" t="s">
        <v>66</v>
      </c>
      <c r="G13" s="19"/>
    </row>
    <row r="14" customFormat="false" ht="15" hidden="false" customHeight="false" outlineLevel="0" collapsed="false">
      <c r="A14" s="5" t="s">
        <v>85</v>
      </c>
      <c r="B14" s="5" t="s">
        <v>78</v>
      </c>
      <c r="D14" s="24" t="n">
        <v>0.5</v>
      </c>
      <c r="F14" s="18" t="s">
        <v>66</v>
      </c>
      <c r="G14" s="19"/>
    </row>
    <row r="15" customFormat="false" ht="15" hidden="false" customHeight="false" outlineLevel="0" collapsed="false">
      <c r="A15" s="3" t="s">
        <v>86</v>
      </c>
      <c r="B15" s="3"/>
      <c r="C15" s="3"/>
      <c r="D15" s="3"/>
      <c r="E15" s="3"/>
      <c r="F15" s="3"/>
      <c r="G15" s="3"/>
    </row>
    <row r="16" customFormat="false" ht="15" hidden="false" customHeight="false" outlineLevel="0" collapsed="false">
      <c r="A16" s="5" t="s">
        <v>87</v>
      </c>
      <c r="B16" s="5" t="s">
        <v>88</v>
      </c>
      <c r="C16" s="25" t="n">
        <v>0.5</v>
      </c>
      <c r="D16" s="25" t="n">
        <v>1</v>
      </c>
      <c r="E16" s="25" t="n">
        <v>1.5</v>
      </c>
      <c r="F16" s="18" t="s">
        <v>66</v>
      </c>
      <c r="G16" s="19" t="s">
        <v>89</v>
      </c>
    </row>
    <row r="17" customFormat="false" ht="22.35" hidden="false" customHeight="false" outlineLevel="0" collapsed="false">
      <c r="A17" s="5" t="s">
        <v>90</v>
      </c>
      <c r="B17" s="5" t="s">
        <v>91</v>
      </c>
      <c r="C17" s="26" t="n">
        <v>15</v>
      </c>
      <c r="D17" s="26" t="n">
        <v>25</v>
      </c>
      <c r="E17" s="26" t="n">
        <v>32</v>
      </c>
      <c r="F17" s="18" t="s">
        <v>92</v>
      </c>
      <c r="G17" s="19" t="s">
        <v>93</v>
      </c>
    </row>
    <row r="18" customFormat="false" ht="15" hidden="false" customHeight="false" outlineLevel="0" collapsed="false">
      <c r="A18" s="5" t="s">
        <v>94</v>
      </c>
      <c r="B18" s="5" t="s">
        <v>95</v>
      </c>
      <c r="C18" s="27" t="n">
        <v>0.08</v>
      </c>
      <c r="D18" s="27" t="n">
        <v>0.15</v>
      </c>
      <c r="E18" s="27" t="n">
        <v>0.22</v>
      </c>
      <c r="F18" s="18" t="s">
        <v>66</v>
      </c>
      <c r="G18" s="19" t="s">
        <v>96</v>
      </c>
    </row>
    <row r="19" customFormat="false" ht="15" hidden="false" customHeight="false" outlineLevel="0" collapsed="false">
      <c r="A19" s="5" t="s">
        <v>97</v>
      </c>
      <c r="B19" s="5" t="s">
        <v>95</v>
      </c>
      <c r="C19" s="27" t="n">
        <v>0.015</v>
      </c>
      <c r="D19" s="27" t="n">
        <v>0.03</v>
      </c>
      <c r="E19" s="27" t="n">
        <v>0.05</v>
      </c>
      <c r="F19" s="18" t="s">
        <v>66</v>
      </c>
      <c r="G19" s="19" t="s">
        <v>98</v>
      </c>
    </row>
    <row r="20" customFormat="false" ht="15" hidden="false" customHeight="false" outlineLevel="0" collapsed="false">
      <c r="A20" s="5" t="s">
        <v>99</v>
      </c>
      <c r="B20" s="5" t="s">
        <v>95</v>
      </c>
      <c r="C20" s="20" t="n">
        <v>0.25</v>
      </c>
      <c r="D20" s="20" t="n">
        <v>0.5</v>
      </c>
      <c r="E20" s="20" t="n">
        <v>0.25</v>
      </c>
      <c r="F20" s="18" t="s">
        <v>66</v>
      </c>
      <c r="G20" s="19" t="s">
        <v>100</v>
      </c>
    </row>
    <row r="21" customFormat="false" ht="15" hidden="false" customHeight="false" outlineLevel="0" collapsed="false">
      <c r="A21" s="3" t="s">
        <v>101</v>
      </c>
      <c r="B21" s="3"/>
      <c r="C21" s="3"/>
      <c r="D21" s="3"/>
      <c r="E21" s="3"/>
      <c r="F21" s="3"/>
      <c r="G21" s="3"/>
    </row>
    <row r="22" customFormat="false" ht="22.35" hidden="false" customHeight="false" outlineLevel="0" collapsed="false">
      <c r="A22" s="5" t="s">
        <v>102</v>
      </c>
      <c r="B22" s="5" t="s">
        <v>88</v>
      </c>
      <c r="D22" s="23" t="n">
        <v>0.35</v>
      </c>
      <c r="F22" s="18" t="s">
        <v>66</v>
      </c>
      <c r="G22" s="19" t="s">
        <v>103</v>
      </c>
    </row>
    <row r="23" customFormat="false" ht="15" hidden="false" customHeight="false" outlineLevel="0" collapsed="false">
      <c r="A23" s="5" t="s">
        <v>104</v>
      </c>
      <c r="B23" s="5" t="s">
        <v>88</v>
      </c>
      <c r="D23" s="23" t="n">
        <v>0.5</v>
      </c>
      <c r="F23" s="18" t="s">
        <v>66</v>
      </c>
      <c r="G23" s="19"/>
    </row>
    <row r="24" customFormat="false" ht="15" hidden="false" customHeight="false" outlineLevel="0" collapsed="false">
      <c r="A24" s="5" t="s">
        <v>105</v>
      </c>
      <c r="B24" s="5" t="s">
        <v>88</v>
      </c>
      <c r="D24" s="23" t="n">
        <v>1.3</v>
      </c>
      <c r="F24" s="18" t="s">
        <v>66</v>
      </c>
      <c r="G24" s="19"/>
    </row>
    <row r="25" customFormat="false" ht="15" hidden="false" customHeight="false" outlineLevel="0" collapsed="false">
      <c r="A25" s="5" t="s">
        <v>106</v>
      </c>
      <c r="B25" s="5" t="s">
        <v>88</v>
      </c>
      <c r="D25" s="23" t="n">
        <v>1</v>
      </c>
      <c r="F25" s="18" t="s">
        <v>92</v>
      </c>
      <c r="G25" s="19" t="s">
        <v>107</v>
      </c>
    </row>
    <row r="26" customFormat="false" ht="15" hidden="false" customHeight="false" outlineLevel="0" collapsed="false">
      <c r="A26" s="5" t="s">
        <v>108</v>
      </c>
      <c r="B26" s="5" t="s">
        <v>88</v>
      </c>
      <c r="D26" s="23" t="n">
        <v>0.25</v>
      </c>
      <c r="F26" s="18" t="s">
        <v>66</v>
      </c>
      <c r="G26" s="19"/>
    </row>
    <row r="27" customFormat="false" ht="15" hidden="false" customHeight="false" outlineLevel="0" collapsed="false">
      <c r="A27" s="5" t="s">
        <v>109</v>
      </c>
      <c r="B27" s="5" t="s">
        <v>88</v>
      </c>
      <c r="D27" s="23" t="n">
        <v>1</v>
      </c>
      <c r="F27" s="18" t="s">
        <v>66</v>
      </c>
      <c r="G27" s="19"/>
    </row>
    <row r="28" customFormat="false" ht="15" hidden="false" customHeight="false" outlineLevel="0" collapsed="false">
      <c r="A28" s="3" t="s">
        <v>110</v>
      </c>
      <c r="B28" s="3"/>
      <c r="C28" s="3"/>
      <c r="D28" s="3"/>
      <c r="E28" s="3"/>
      <c r="F28" s="3"/>
      <c r="G28" s="3"/>
    </row>
    <row r="29" customFormat="false" ht="15" hidden="false" customHeight="false" outlineLevel="0" collapsed="false">
      <c r="A29" s="5" t="s">
        <v>111</v>
      </c>
      <c r="B29" s="5" t="s">
        <v>112</v>
      </c>
      <c r="D29" s="27" t="n">
        <v>0.5</v>
      </c>
      <c r="F29" s="18" t="s">
        <v>66</v>
      </c>
      <c r="G29" s="19" t="s">
        <v>113</v>
      </c>
    </row>
    <row r="30" customFormat="false" ht="15" hidden="false" customHeight="false" outlineLevel="0" collapsed="false">
      <c r="A30" s="5" t="s">
        <v>114</v>
      </c>
      <c r="B30" s="5" t="s">
        <v>115</v>
      </c>
      <c r="D30" s="28" t="n">
        <v>12</v>
      </c>
      <c r="F30" s="18" t="s">
        <v>66</v>
      </c>
      <c r="G30" s="19" t="s">
        <v>116</v>
      </c>
    </row>
    <row r="31" customFormat="false" ht="15" hidden="false" customHeight="false" outlineLevel="0" collapsed="false">
      <c r="A31" s="5" t="s">
        <v>117</v>
      </c>
      <c r="B31" s="5" t="s">
        <v>118</v>
      </c>
      <c r="D31" s="23" t="n">
        <v>3</v>
      </c>
      <c r="F31" s="18" t="s">
        <v>66</v>
      </c>
      <c r="G31" s="19" t="s">
        <v>119</v>
      </c>
    </row>
    <row r="32" customFormat="false" ht="15" hidden="false" customHeight="false" outlineLevel="0" collapsed="false">
      <c r="A32" s="5" t="s">
        <v>120</v>
      </c>
      <c r="B32" s="5" t="s">
        <v>115</v>
      </c>
      <c r="D32" s="28" t="n">
        <v>20</v>
      </c>
      <c r="F32" s="18" t="s">
        <v>66</v>
      </c>
      <c r="G32" s="19" t="s">
        <v>121</v>
      </c>
    </row>
    <row r="33" customFormat="false" ht="15" hidden="false" customHeight="false" outlineLevel="0" collapsed="false">
      <c r="A33" s="5" t="s">
        <v>122</v>
      </c>
      <c r="B33" s="5" t="s">
        <v>88</v>
      </c>
      <c r="D33" s="28" t="n">
        <v>5</v>
      </c>
      <c r="F33" s="18" t="s">
        <v>66</v>
      </c>
      <c r="G33" s="19"/>
    </row>
    <row r="34" customFormat="false" ht="15" hidden="false" customHeight="false" outlineLevel="0" collapsed="false">
      <c r="A34" s="5" t="s">
        <v>123</v>
      </c>
      <c r="B34" s="5" t="s">
        <v>75</v>
      </c>
      <c r="D34" s="21" t="n">
        <v>20000000</v>
      </c>
      <c r="F34" s="18" t="s">
        <v>66</v>
      </c>
      <c r="G34" s="19"/>
    </row>
    <row r="35" customFormat="false" ht="15" hidden="false" customHeight="false" outlineLevel="0" collapsed="false">
      <c r="A35" s="5" t="s">
        <v>124</v>
      </c>
      <c r="B35" s="5" t="s">
        <v>88</v>
      </c>
      <c r="D35" s="23" t="n">
        <v>0.4</v>
      </c>
      <c r="F35" s="18" t="s">
        <v>66</v>
      </c>
      <c r="G35" s="19" t="s">
        <v>125</v>
      </c>
    </row>
    <row r="36" customFormat="false" ht="15" hidden="false" customHeight="false" outlineLevel="0" collapsed="false">
      <c r="A36" s="5" t="s">
        <v>126</v>
      </c>
      <c r="B36" s="5" t="s">
        <v>88</v>
      </c>
      <c r="D36" s="23" t="n">
        <v>0.6</v>
      </c>
      <c r="F36" s="18" t="s">
        <v>66</v>
      </c>
      <c r="G36" s="19"/>
    </row>
    <row r="37" customFormat="false" ht="15" hidden="false" customHeight="false" outlineLevel="0" collapsed="false">
      <c r="A37" s="5" t="s">
        <v>127</v>
      </c>
      <c r="B37" s="5" t="s">
        <v>88</v>
      </c>
      <c r="D37" s="23" t="n">
        <v>2</v>
      </c>
      <c r="F37" s="18" t="s">
        <v>66</v>
      </c>
      <c r="G37" s="19"/>
    </row>
    <row r="38" customFormat="false" ht="15" hidden="false" customHeight="false" outlineLevel="0" collapsed="false">
      <c r="A38" s="5" t="s">
        <v>128</v>
      </c>
      <c r="B38" s="5" t="s">
        <v>95</v>
      </c>
      <c r="D38" s="20" t="n">
        <v>0.12</v>
      </c>
      <c r="F38" s="18" t="s">
        <v>66</v>
      </c>
      <c r="G38" s="19"/>
    </row>
    <row r="39" customFormat="false" ht="15" hidden="false" customHeight="false" outlineLevel="0" collapsed="false">
      <c r="A39" s="5" t="s">
        <v>129</v>
      </c>
      <c r="B39" s="5" t="s">
        <v>95</v>
      </c>
      <c r="D39" s="20" t="n">
        <v>0.04</v>
      </c>
      <c r="F39" s="18" t="s">
        <v>66</v>
      </c>
      <c r="G39" s="19"/>
    </row>
    <row r="40" customFormat="false" ht="15" hidden="false" customHeight="false" outlineLevel="0" collapsed="false">
      <c r="A40" s="5" t="s">
        <v>130</v>
      </c>
      <c r="B40" s="5" t="s">
        <v>95</v>
      </c>
      <c r="D40" s="20" t="n">
        <v>0.04</v>
      </c>
      <c r="F40" s="18" t="s">
        <v>66</v>
      </c>
      <c r="G40" s="19" t="s">
        <v>131</v>
      </c>
    </row>
    <row r="41" customFormat="false" ht="15" hidden="false" customHeight="false" outlineLevel="0" collapsed="false">
      <c r="A41" s="5" t="s">
        <v>132</v>
      </c>
      <c r="B41" s="5" t="s">
        <v>95</v>
      </c>
      <c r="D41" s="29" t="n">
        <v>0.1</v>
      </c>
      <c r="F41" s="18" t="s">
        <v>66</v>
      </c>
      <c r="G41" s="19"/>
    </row>
    <row r="42" customFormat="false" ht="15" hidden="false" customHeight="false" outlineLevel="0" collapsed="false">
      <c r="A42" s="5" t="s">
        <v>133</v>
      </c>
      <c r="B42" s="5" t="s">
        <v>95</v>
      </c>
      <c r="D42" s="29" t="n">
        <v>0.35</v>
      </c>
      <c r="F42" s="18" t="s">
        <v>66</v>
      </c>
      <c r="G42" s="19"/>
    </row>
    <row r="43" customFormat="false" ht="15" hidden="false" customHeight="false" outlineLevel="0" collapsed="false">
      <c r="A43" s="5" t="s">
        <v>134</v>
      </c>
      <c r="B43" s="5" t="s">
        <v>95</v>
      </c>
      <c r="D43" s="29" t="n">
        <v>0.65</v>
      </c>
      <c r="F43" s="18" t="s">
        <v>66</v>
      </c>
      <c r="G43" s="19"/>
    </row>
    <row r="44" customFormat="false" ht="15" hidden="false" customHeight="false" outlineLevel="0" collapsed="false">
      <c r="A44" s="5" t="s">
        <v>135</v>
      </c>
      <c r="B44" s="5" t="s">
        <v>95</v>
      </c>
      <c r="D44" s="29" t="n">
        <v>1</v>
      </c>
      <c r="F44" s="18" t="s">
        <v>66</v>
      </c>
      <c r="G44" s="19"/>
    </row>
    <row r="45" customFormat="false" ht="15" hidden="false" customHeight="false" outlineLevel="0" collapsed="false">
      <c r="A45" s="3" t="s">
        <v>136</v>
      </c>
      <c r="B45" s="3"/>
      <c r="C45" s="3"/>
      <c r="D45" s="3"/>
      <c r="E45" s="3"/>
      <c r="F45" s="3"/>
      <c r="G45" s="3"/>
    </row>
    <row r="46" customFormat="false" ht="15" hidden="false" customHeight="false" outlineLevel="0" collapsed="false">
      <c r="A46" s="5" t="s">
        <v>137</v>
      </c>
      <c r="B46" s="5" t="s">
        <v>138</v>
      </c>
      <c r="D46" s="30" t="n">
        <v>0.35</v>
      </c>
      <c r="F46" s="18" t="s">
        <v>66</v>
      </c>
      <c r="G46" s="19"/>
    </row>
    <row r="47" customFormat="false" ht="15" hidden="false" customHeight="false" outlineLevel="0" collapsed="false">
      <c r="A47" s="5" t="s">
        <v>139</v>
      </c>
      <c r="B47" s="5" t="s">
        <v>138</v>
      </c>
      <c r="D47" s="30" t="n">
        <v>0.2</v>
      </c>
      <c r="F47" s="18" t="s">
        <v>66</v>
      </c>
      <c r="G47" s="19"/>
    </row>
    <row r="48" customFormat="false" ht="15" hidden="false" customHeight="false" outlineLevel="0" collapsed="false">
      <c r="A48" s="5" t="s">
        <v>140</v>
      </c>
      <c r="B48" s="5" t="s">
        <v>138</v>
      </c>
      <c r="D48" s="30" t="n">
        <v>0.15</v>
      </c>
      <c r="F48" s="18" t="s">
        <v>66</v>
      </c>
      <c r="G48" s="19"/>
    </row>
    <row r="49" customFormat="false" ht="15" hidden="false" customHeight="false" outlineLevel="0" collapsed="false">
      <c r="A49" s="5" t="s">
        <v>141</v>
      </c>
      <c r="B49" s="5" t="s">
        <v>138</v>
      </c>
      <c r="D49" s="30" t="n">
        <v>0.15</v>
      </c>
      <c r="F49" s="18" t="s">
        <v>66</v>
      </c>
      <c r="G49" s="19"/>
    </row>
    <row r="50" customFormat="false" ht="15" hidden="false" customHeight="false" outlineLevel="0" collapsed="false">
      <c r="A50" s="5" t="s">
        <v>142</v>
      </c>
      <c r="B50" s="5" t="s">
        <v>138</v>
      </c>
      <c r="D50" s="30" t="n">
        <v>0.15</v>
      </c>
      <c r="F50" s="18" t="s">
        <v>66</v>
      </c>
      <c r="G50" s="19"/>
    </row>
    <row r="51" customFormat="false" ht="15" hidden="false" customHeight="false" outlineLevel="0" collapsed="false">
      <c r="A51" s="5" t="s">
        <v>143</v>
      </c>
      <c r="B51" s="5" t="s">
        <v>144</v>
      </c>
      <c r="D51" s="31" t="n">
        <f aca="false">SUM(D46:D50)</f>
        <v>1</v>
      </c>
      <c r="F51" s="18" t="s">
        <v>70</v>
      </c>
      <c r="G51" s="19"/>
    </row>
    <row r="52" customFormat="false" ht="15" hidden="false" customHeight="false" outlineLevel="0" collapsed="false">
      <c r="A52" s="5" t="s">
        <v>145</v>
      </c>
      <c r="B52" s="5" t="s">
        <v>138</v>
      </c>
      <c r="D52" s="30" t="n">
        <v>0.2</v>
      </c>
      <c r="F52" s="18" t="s">
        <v>66</v>
      </c>
      <c r="G52" s="19"/>
    </row>
    <row r="53" customFormat="false" ht="15" hidden="false" customHeight="false" outlineLevel="0" collapsed="false">
      <c r="A53" s="5" t="s">
        <v>146</v>
      </c>
      <c r="B53" s="5" t="s">
        <v>138</v>
      </c>
      <c r="D53" s="30" t="n">
        <v>0.2</v>
      </c>
      <c r="F53" s="18" t="s">
        <v>66</v>
      </c>
      <c r="G53" s="19"/>
    </row>
    <row r="54" customFormat="false" ht="15" hidden="false" customHeight="false" outlineLevel="0" collapsed="false">
      <c r="A54" s="5" t="s">
        <v>147</v>
      </c>
      <c r="B54" s="5" t="s">
        <v>138</v>
      </c>
      <c r="D54" s="30" t="n">
        <v>0.15</v>
      </c>
      <c r="F54" s="18" t="s">
        <v>66</v>
      </c>
      <c r="G54" s="19"/>
    </row>
    <row r="55" customFormat="false" ht="15" hidden="false" customHeight="false" outlineLevel="0" collapsed="false">
      <c r="A55" s="5" t="s">
        <v>148</v>
      </c>
      <c r="B55" s="5" t="s">
        <v>138</v>
      </c>
      <c r="D55" s="30" t="n">
        <v>0.15</v>
      </c>
      <c r="F55" s="18" t="s">
        <v>66</v>
      </c>
      <c r="G55" s="19"/>
    </row>
    <row r="56" customFormat="false" ht="15" hidden="false" customHeight="false" outlineLevel="0" collapsed="false">
      <c r="A56" s="5" t="s">
        <v>149</v>
      </c>
      <c r="B56" s="5" t="s">
        <v>138</v>
      </c>
      <c r="D56" s="30" t="n">
        <v>0.1</v>
      </c>
      <c r="F56" s="18" t="s">
        <v>66</v>
      </c>
      <c r="G56" s="19"/>
    </row>
    <row r="57" customFormat="false" ht="15" hidden="false" customHeight="false" outlineLevel="0" collapsed="false">
      <c r="A57" s="5" t="s">
        <v>150</v>
      </c>
      <c r="B57" s="5" t="s">
        <v>138</v>
      </c>
      <c r="D57" s="30" t="n">
        <v>0.2</v>
      </c>
      <c r="F57" s="18" t="s">
        <v>66</v>
      </c>
      <c r="G57" s="19"/>
    </row>
    <row r="58" customFormat="false" ht="15" hidden="false" customHeight="false" outlineLevel="0" collapsed="false">
      <c r="A58" s="5" t="s">
        <v>151</v>
      </c>
      <c r="B58" s="5" t="s">
        <v>144</v>
      </c>
      <c r="D58" s="31" t="n">
        <f aca="false">SUM(D52:D57)</f>
        <v>1</v>
      </c>
      <c r="F58" s="18" t="s">
        <v>70</v>
      </c>
      <c r="G58" s="19"/>
    </row>
    <row r="59" customFormat="false" ht="15" hidden="false" customHeight="false" outlineLevel="0" collapsed="false">
      <c r="A59" s="5" t="s">
        <v>152</v>
      </c>
      <c r="B59" s="5" t="s">
        <v>153</v>
      </c>
      <c r="D59" s="21" t="n">
        <v>120</v>
      </c>
      <c r="F59" s="18" t="s">
        <v>66</v>
      </c>
      <c r="G59" s="19"/>
    </row>
    <row r="60" customFormat="false" ht="15" hidden="false" customHeight="false" outlineLevel="0" collapsed="false">
      <c r="A60" s="5" t="s">
        <v>154</v>
      </c>
      <c r="B60" s="5" t="s">
        <v>95</v>
      </c>
      <c r="D60" s="21" t="n">
        <v>15</v>
      </c>
      <c r="F60" s="18" t="s">
        <v>66</v>
      </c>
      <c r="G60" s="19"/>
    </row>
    <row r="61" customFormat="false" ht="15" hidden="false" customHeight="false" outlineLevel="0" collapsed="false">
      <c r="A61" s="5" t="s">
        <v>155</v>
      </c>
      <c r="B61" s="5" t="s">
        <v>95</v>
      </c>
      <c r="D61" s="21" t="n">
        <v>40</v>
      </c>
      <c r="F61" s="18" t="s">
        <v>66</v>
      </c>
      <c r="G61" s="19"/>
    </row>
    <row r="62" customFormat="false" ht="15" hidden="false" customHeight="false" outlineLevel="0" collapsed="false">
      <c r="A62" s="5" t="s">
        <v>156</v>
      </c>
      <c r="B62" s="5" t="s">
        <v>157</v>
      </c>
      <c r="D62" s="21" t="n">
        <v>40</v>
      </c>
      <c r="F62" s="18" t="s">
        <v>66</v>
      </c>
      <c r="G62" s="19"/>
    </row>
    <row r="63" customFormat="false" ht="15" hidden="false" customHeight="false" outlineLevel="0" collapsed="false">
      <c r="A63" s="5" t="s">
        <v>158</v>
      </c>
      <c r="B63" s="5" t="s">
        <v>157</v>
      </c>
      <c r="D63" s="21" t="n">
        <v>-5</v>
      </c>
      <c r="F63" s="18" t="s">
        <v>66</v>
      </c>
      <c r="G63" s="19"/>
    </row>
    <row r="64" customFormat="false" ht="15" hidden="false" customHeight="false" outlineLevel="0" collapsed="false">
      <c r="A64" s="3" t="s">
        <v>159</v>
      </c>
      <c r="B64" s="3"/>
      <c r="C64" s="3"/>
      <c r="D64" s="3"/>
      <c r="E64" s="3"/>
      <c r="F64" s="3"/>
      <c r="G64" s="3"/>
    </row>
    <row r="65" customFormat="false" ht="15" hidden="false" customHeight="false" outlineLevel="0" collapsed="false">
      <c r="A65" s="5" t="s">
        <v>160</v>
      </c>
      <c r="B65" s="5" t="s">
        <v>118</v>
      </c>
      <c r="D65" s="14" t="n">
        <f aca="false">INDEX(Data!$J$6:$J$39,MATCH("KEN",Data!$B$6:$B$39,0))</f>
        <v>5841.59866001706</v>
      </c>
      <c r="F65" s="18" t="s">
        <v>63</v>
      </c>
      <c r="G65" s="19"/>
    </row>
    <row r="66" customFormat="false" ht="15" hidden="false" customHeight="false" outlineLevel="0" collapsed="false">
      <c r="A66" s="5" t="s">
        <v>161</v>
      </c>
      <c r="B66" s="5" t="s">
        <v>162</v>
      </c>
      <c r="D66" s="32" t="n">
        <f aca="false">MIN(1,INDEX(Data!$E$6:$E$39,MATCH("KEN",Data!$B$6:$B$39,0))/INDEX(Data!$F$6:$F$39,MATCH("KEN",Data!$B$6:$B$39,0)))</f>
        <v>0.970922009529004</v>
      </c>
      <c r="F66" s="18" t="s">
        <v>63</v>
      </c>
      <c r="G66" s="19"/>
    </row>
    <row r="67" customFormat="false" ht="15" hidden="false" customHeight="false" outlineLevel="0" collapsed="false">
      <c r="A67" s="5" t="s">
        <v>163</v>
      </c>
      <c r="B67" s="5" t="s">
        <v>95</v>
      </c>
      <c r="D67" s="13" t="n">
        <f aca="false">INDEX(Data!$H$6:$H$39,MATCH("KEN",Data!$B$6:$B$39,0))</f>
        <v>0.557570024721425</v>
      </c>
      <c r="F67" s="18" t="s">
        <v>63</v>
      </c>
      <c r="G67" s="19"/>
    </row>
    <row r="68" customFormat="false" ht="15" hidden="false" customHeight="false" outlineLevel="0" collapsed="false">
      <c r="A68" s="3" t="s">
        <v>164</v>
      </c>
      <c r="B68" s="3"/>
      <c r="C68" s="3"/>
      <c r="D68" s="3"/>
      <c r="E68" s="3"/>
      <c r="F68" s="3"/>
      <c r="G68" s="3"/>
    </row>
    <row r="69" customFormat="false" ht="15" hidden="false" customHeight="false" outlineLevel="0" collapsed="false">
      <c r="A69" s="5" t="s">
        <v>165</v>
      </c>
      <c r="B69" s="5" t="s">
        <v>166</v>
      </c>
      <c r="D69" s="23" t="n">
        <v>182.73</v>
      </c>
      <c r="F69" s="18" t="s">
        <v>63</v>
      </c>
      <c r="G69" s="19" t="s">
        <v>167</v>
      </c>
    </row>
    <row r="70" customFormat="false" ht="15" hidden="false" customHeight="false" outlineLevel="0" collapsed="false">
      <c r="A70" s="5" t="s">
        <v>168</v>
      </c>
      <c r="B70" s="5" t="s">
        <v>169</v>
      </c>
      <c r="D70" s="23" t="n">
        <v>43.69</v>
      </c>
      <c r="F70" s="18" t="s">
        <v>63</v>
      </c>
      <c r="G70" s="19" t="s">
        <v>170</v>
      </c>
    </row>
    <row r="71" customFormat="false" ht="15" hidden="false" customHeight="false" outlineLevel="0" collapsed="false">
      <c r="A71" s="5" t="s">
        <v>171</v>
      </c>
      <c r="B71" s="5" t="s">
        <v>172</v>
      </c>
      <c r="D71" s="28" t="n">
        <v>129</v>
      </c>
      <c r="F71" s="18" t="s">
        <v>63</v>
      </c>
      <c r="G71" s="19" t="s">
        <v>173</v>
      </c>
    </row>
    <row r="72" customFormat="false" ht="15" hidden="false" customHeight="false" outlineLevel="0" collapsed="false">
      <c r="A72" s="5" t="s">
        <v>174</v>
      </c>
      <c r="B72" s="5" t="s">
        <v>91</v>
      </c>
      <c r="D72" s="11" t="n">
        <f aca="false">D69*1000/D70/D71</f>
        <v>32.4218729207365</v>
      </c>
      <c r="F72" s="18" t="s">
        <v>70</v>
      </c>
      <c r="G72" s="19"/>
    </row>
    <row r="73" customFormat="false" ht="15" hidden="false" customHeight="false" outlineLevel="0" collapsed="false">
      <c r="A73" s="5" t="s">
        <v>175</v>
      </c>
      <c r="B73" s="5" t="s">
        <v>115</v>
      </c>
      <c r="D73" s="21" t="n">
        <v>1009</v>
      </c>
      <c r="F73" s="18" t="s">
        <v>63</v>
      </c>
      <c r="G73" s="19" t="s">
        <v>176</v>
      </c>
    </row>
    <row r="74" customFormat="false" ht="15" hidden="false" customHeight="false" outlineLevel="0" collapsed="false">
      <c r="A74" s="5" t="s">
        <v>177</v>
      </c>
      <c r="B74" s="5" t="s">
        <v>169</v>
      </c>
      <c r="D74" s="28" t="n">
        <v>40.9</v>
      </c>
      <c r="F74" s="18" t="s">
        <v>63</v>
      </c>
      <c r="G74" s="19" t="s">
        <v>178</v>
      </c>
    </row>
    <row r="75" customFormat="false" ht="15" hidden="false" customHeight="false" outlineLevel="0" collapsed="false">
      <c r="A75" s="5" t="s">
        <v>179</v>
      </c>
      <c r="B75" s="5" t="s">
        <v>91</v>
      </c>
      <c r="D75" s="11" t="n">
        <f aca="false">D73/D74</f>
        <v>24.6699266503667</v>
      </c>
      <c r="F75" s="18" t="s">
        <v>70</v>
      </c>
      <c r="G75" s="19"/>
    </row>
    <row r="76" customFormat="false" ht="15" hidden="false" customHeight="false" outlineLevel="0" collapsed="false">
      <c r="A76" s="5" t="s">
        <v>180</v>
      </c>
      <c r="B76" s="5" t="s">
        <v>115</v>
      </c>
      <c r="D76" s="21" t="n">
        <v>9</v>
      </c>
      <c r="F76" s="18" t="s">
        <v>63</v>
      </c>
      <c r="G76" s="19" t="s">
        <v>178</v>
      </c>
    </row>
    <row r="77" customFormat="false" ht="15" hidden="false" customHeight="false" outlineLevel="0" collapsed="false">
      <c r="A77" s="5" t="s">
        <v>181</v>
      </c>
      <c r="B77" s="5" t="s">
        <v>169</v>
      </c>
      <c r="D77" s="28" t="n">
        <v>2.7</v>
      </c>
      <c r="F77" s="18" t="s">
        <v>63</v>
      </c>
      <c r="G77" s="19" t="s">
        <v>178</v>
      </c>
    </row>
    <row r="78" customFormat="false" ht="15" hidden="false" customHeight="false" outlineLevel="0" collapsed="false">
      <c r="A78" s="5" t="s">
        <v>182</v>
      </c>
      <c r="B78" s="5" t="s">
        <v>91</v>
      </c>
      <c r="D78" s="11" t="n">
        <f aca="false">D76/D77</f>
        <v>3.33333333333333</v>
      </c>
      <c r="F78" s="18" t="s">
        <v>70</v>
      </c>
      <c r="G78" s="1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D4"/>
    <pageSetUpPr fitToPage="false"/>
  </sheetPr>
  <dimension ref="A1:AB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7"/>
    <col collapsed="false" customWidth="true" hidden="false" outlineLevel="0" max="3" min="3" style="0" width="20"/>
    <col collapsed="false" customWidth="true" hidden="false" outlineLevel="0" max="28" min="4" style="0" width="13"/>
  </cols>
  <sheetData>
    <row r="1" customFormat="false" ht="17.35" hidden="false" customHeight="false" outlineLevel="0" collapsed="false">
      <c r="A1" s="1" t="s">
        <v>183</v>
      </c>
    </row>
    <row r="2" customFormat="false" ht="15" hidden="false" customHeight="false" outlineLevel="0" collapsed="false">
      <c r="A2" s="2" t="s">
        <v>184</v>
      </c>
    </row>
    <row r="4" customFormat="false" ht="15" hidden="false" customHeight="false" outlineLevel="0" collapsed="false">
      <c r="D4" s="2" t="s">
        <v>185</v>
      </c>
      <c r="J4" s="2" t="s">
        <v>186</v>
      </c>
      <c r="T4" s="2" t="s">
        <v>187</v>
      </c>
      <c r="W4" s="2" t="s">
        <v>188</v>
      </c>
    </row>
    <row r="5" customFormat="false" ht="69.75" hidden="false" customHeight="true" outlineLevel="0" collapsed="false">
      <c r="A5" s="9" t="s">
        <v>189</v>
      </c>
      <c r="B5" s="9" t="s">
        <v>37</v>
      </c>
      <c r="C5" s="9" t="s">
        <v>190</v>
      </c>
      <c r="D5" s="9" t="s">
        <v>191</v>
      </c>
      <c r="E5" s="9" t="s">
        <v>192</v>
      </c>
      <c r="F5" s="9" t="s">
        <v>193</v>
      </c>
      <c r="G5" s="9" t="s">
        <v>194</v>
      </c>
      <c r="H5" s="9" t="s">
        <v>195</v>
      </c>
      <c r="I5" s="9" t="s">
        <v>196</v>
      </c>
      <c r="J5" s="9" t="s">
        <v>197</v>
      </c>
      <c r="K5" s="9" t="s">
        <v>198</v>
      </c>
      <c r="L5" s="9" t="s">
        <v>199</v>
      </c>
      <c r="M5" s="9" t="s">
        <v>200</v>
      </c>
      <c r="N5" s="9" t="s">
        <v>201</v>
      </c>
      <c r="O5" s="9" t="s">
        <v>202</v>
      </c>
      <c r="P5" s="9" t="s">
        <v>203</v>
      </c>
      <c r="Q5" s="9" t="s">
        <v>204</v>
      </c>
      <c r="R5" s="9" t="s">
        <v>205</v>
      </c>
      <c r="S5" s="9" t="s">
        <v>206</v>
      </c>
      <c r="T5" s="9" t="s">
        <v>207</v>
      </c>
      <c r="U5" s="9" t="s">
        <v>208</v>
      </c>
      <c r="V5" s="9" t="s">
        <v>209</v>
      </c>
      <c r="W5" s="9" t="s">
        <v>210</v>
      </c>
      <c r="X5" s="9" t="s">
        <v>211</v>
      </c>
      <c r="Y5" s="9" t="s">
        <v>212</v>
      </c>
      <c r="Z5" s="9" t="s">
        <v>213</v>
      </c>
      <c r="AA5" s="9" t="s">
        <v>214</v>
      </c>
      <c r="AB5" s="9" t="s">
        <v>215</v>
      </c>
    </row>
    <row r="6" customFormat="false" ht="15" hidden="false" customHeight="false" outlineLevel="0" collapsed="false">
      <c r="A6" s="5" t="s">
        <v>216</v>
      </c>
      <c r="B6" s="5" t="s">
        <v>217</v>
      </c>
      <c r="C6" s="5" t="s">
        <v>218</v>
      </c>
      <c r="D6" s="21" t="n">
        <v>8207504</v>
      </c>
      <c r="E6" s="20" t="n">
        <v>0.448728519417161</v>
      </c>
      <c r="F6" s="20" t="n">
        <v>0.518432060403598</v>
      </c>
      <c r="G6" s="20" t="n">
        <v>0.199061777922869</v>
      </c>
      <c r="H6" s="20" t="n">
        <v>0.0676468510773468</v>
      </c>
      <c r="I6" s="20" t="n">
        <v>0.180938375864279</v>
      </c>
      <c r="J6" s="21" t="n">
        <v>3901.32588494392</v>
      </c>
      <c r="K6" s="28" t="n">
        <v>52.5455354818423</v>
      </c>
      <c r="L6" s="28" t="n">
        <v>125.940873932186</v>
      </c>
      <c r="M6" s="28" t="n">
        <v>33.98379898</v>
      </c>
      <c r="N6" s="28" t="n">
        <v>59</v>
      </c>
      <c r="O6" s="28" t="n">
        <v>1.72082497476655</v>
      </c>
      <c r="P6" s="23" t="n">
        <v>2.46175361912328</v>
      </c>
      <c r="Q6" s="28" t="n">
        <v>1.75013677210005</v>
      </c>
      <c r="R6" s="28" t="n">
        <v>2.97294755352079</v>
      </c>
      <c r="S6" s="28" t="n">
        <v>6.68628003381415</v>
      </c>
      <c r="T6" s="28" t="n">
        <v>10.1735168571662</v>
      </c>
      <c r="U6" s="28" t="n">
        <v>16.3644790894481</v>
      </c>
      <c r="V6" s="28" t="n">
        <v>1.7812898661765</v>
      </c>
      <c r="W6" s="21" t="n">
        <v>20</v>
      </c>
      <c r="X6" s="21" t="n">
        <v>100</v>
      </c>
      <c r="Y6" s="24" t="n">
        <v>0.350013524732605</v>
      </c>
      <c r="Z6" s="16" t="n">
        <f aca="false">IF(B6="KEN",1,0)</f>
        <v>0</v>
      </c>
      <c r="AA6" s="16" t="n">
        <f aca="false">IF(D6&gt;=Inputs!$D$10,1,0)</f>
        <v>1</v>
      </c>
      <c r="AB6" s="33" t="n">
        <f aca="false">IF(AND(Z6=0,AA6=1),1,0)</f>
        <v>1</v>
      </c>
    </row>
    <row r="7" customFormat="false" ht="15" hidden="false" customHeight="false" outlineLevel="0" collapsed="false">
      <c r="A7" s="5" t="s">
        <v>219</v>
      </c>
      <c r="B7" s="5" t="s">
        <v>220</v>
      </c>
      <c r="C7" s="5" t="s">
        <v>221</v>
      </c>
      <c r="D7" s="21" t="n">
        <v>1679590</v>
      </c>
      <c r="E7" s="20" t="n">
        <v>0.51617815726863</v>
      </c>
      <c r="F7" s="20" t="n">
        <v>0.614384690565565</v>
      </c>
      <c r="G7" s="20" t="n">
        <v>0.416043563988356</v>
      </c>
      <c r="H7" s="20" t="n">
        <v>0.255964267750239</v>
      </c>
      <c r="I7" s="20" t="n">
        <v>0.243783067001658</v>
      </c>
      <c r="J7" s="21" t="n">
        <v>18107.614452913</v>
      </c>
      <c r="K7" s="28" t="n">
        <v>67.4623537838418</v>
      </c>
      <c r="L7" s="28" t="n">
        <v>163.999922257361</v>
      </c>
      <c r="M7" s="28" t="n">
        <v>57.45950036</v>
      </c>
      <c r="N7" s="28" t="n">
        <v>80.2</v>
      </c>
      <c r="O7" s="28" t="n">
        <v>0.665235250950978</v>
      </c>
      <c r="P7" s="23" t="n">
        <v>1.63538411022867</v>
      </c>
      <c r="Q7" s="28" t="n">
        <v>6.51717809633427</v>
      </c>
      <c r="R7" s="28" t="n">
        <v>6.71862588393473</v>
      </c>
      <c r="S7" s="28" t="n">
        <v>1.97139845668319</v>
      </c>
      <c r="T7" s="28" t="n">
        <v>4.3509576964515</v>
      </c>
      <c r="U7" s="28" t="n">
        <v>23.161609944612</v>
      </c>
      <c r="V7" s="28" t="n">
        <v>1.4630648035362</v>
      </c>
      <c r="W7" s="21" t="n">
        <v>20</v>
      </c>
      <c r="X7" s="21" t="n">
        <v>100</v>
      </c>
      <c r="Y7" s="24" t="n">
        <v>0.133462437148706</v>
      </c>
      <c r="Z7" s="16" t="n">
        <f aca="false">IF(B7="KEN",1,0)</f>
        <v>0</v>
      </c>
      <c r="AA7" s="16" t="n">
        <f aca="false">IF(D7&gt;=Inputs!$D$10,1,0)</f>
        <v>0</v>
      </c>
      <c r="AB7" s="33" t="n">
        <f aca="false">IF(AND(Z7=0,AA7=1),1,0)</f>
        <v>0</v>
      </c>
    </row>
    <row r="8" customFormat="false" ht="15" hidden="false" customHeight="false" outlineLevel="0" collapsed="false">
      <c r="A8" s="5" t="s">
        <v>222</v>
      </c>
      <c r="B8" s="5" t="s">
        <v>223</v>
      </c>
      <c r="C8" s="5" t="s">
        <v>224</v>
      </c>
      <c r="D8" s="21" t="n">
        <v>13262560</v>
      </c>
      <c r="E8" s="20" t="n">
        <v>0.441573641486017</v>
      </c>
      <c r="F8" s="20" t="n">
        <v>0.514274911911242</v>
      </c>
      <c r="G8" s="20" t="n">
        <v>0.205498915198531</v>
      </c>
      <c r="H8" s="20" t="n">
        <v>0.120444086841335</v>
      </c>
      <c r="I8" s="20" t="n">
        <v>0.330227985441853</v>
      </c>
      <c r="J8" s="21" t="n">
        <v>2548.50247702504</v>
      </c>
      <c r="K8" s="28" t="n">
        <v>28.3352514896662</v>
      </c>
      <c r="L8" s="28" t="n">
        <v>116.5895933212</v>
      </c>
      <c r="M8" s="28" t="n">
        <v>28.25270081</v>
      </c>
      <c r="N8" s="28" t="n">
        <v>34</v>
      </c>
      <c r="O8" s="28" t="n">
        <v>2.57274984525714</v>
      </c>
      <c r="P8" s="23" t="n">
        <v>2.24597728439097</v>
      </c>
      <c r="Q8" s="28" t="n">
        <v>6.40798769081665</v>
      </c>
      <c r="R8" s="28" t="n">
        <v>2.97758321341949</v>
      </c>
      <c r="S8" s="28" t="n">
        <v>3.15365494729976</v>
      </c>
      <c r="T8" s="28" t="n">
        <v>13.167098083452</v>
      </c>
      <c r="U8" s="28" t="n">
        <v>18.9127699635799</v>
      </c>
      <c r="V8" s="28" t="n">
        <v>20.2023271703412</v>
      </c>
      <c r="W8" s="21" t="n">
        <v>20</v>
      </c>
      <c r="X8" s="21" t="n">
        <v>0</v>
      </c>
      <c r="Y8" s="24" t="n">
        <v>0.262939228747969</v>
      </c>
      <c r="Z8" s="16" t="n">
        <f aca="false">IF(B8="KEN",1,0)</f>
        <v>0</v>
      </c>
      <c r="AA8" s="16" t="n">
        <f aca="false">IF(D8&gt;=Inputs!$D$10,1,0)</f>
        <v>1</v>
      </c>
      <c r="AB8" s="33" t="n">
        <f aca="false">IF(AND(Z8=0,AA8=1),1,0)</f>
        <v>1</v>
      </c>
    </row>
    <row r="9" customFormat="false" ht="15" hidden="false" customHeight="false" outlineLevel="0" collapsed="false">
      <c r="A9" s="5" t="s">
        <v>225</v>
      </c>
      <c r="B9" s="5" t="s">
        <v>226</v>
      </c>
      <c r="C9" s="5" t="s">
        <v>218</v>
      </c>
      <c r="D9" s="21" t="n">
        <v>16524096</v>
      </c>
      <c r="E9" s="20" t="n">
        <v>0.550654518411428</v>
      </c>
      <c r="F9" s="20" t="n">
        <v>0.608737908565624</v>
      </c>
      <c r="G9" s="20" t="n">
        <v>0.209972994048439</v>
      </c>
      <c r="H9" s="20" t="n">
        <v>0.203077980125848</v>
      </c>
      <c r="I9" s="20" t="n">
        <v>0.151378298780813</v>
      </c>
      <c r="J9" s="21" t="n">
        <v>4916.93354019494</v>
      </c>
      <c r="K9" s="28" t="n">
        <v>55.4031748609078</v>
      </c>
      <c r="L9" s="28" t="n">
        <v>108.213130152497</v>
      </c>
      <c r="M9" s="28" t="n">
        <v>46.25880051</v>
      </c>
      <c r="N9" s="28" t="n">
        <v>72</v>
      </c>
      <c r="O9" s="28" t="n">
        <v>1.29492646677846</v>
      </c>
      <c r="P9" s="23" t="n">
        <v>2.61268294319567</v>
      </c>
      <c r="Q9" s="28" t="n">
        <v>6.0546014911215</v>
      </c>
      <c r="R9" s="28" t="n">
        <v>2.97758321341949</v>
      </c>
      <c r="S9" s="28" t="n">
        <v>3.53635666455528</v>
      </c>
      <c r="T9" s="28" t="n">
        <v>14.6042201755786</v>
      </c>
      <c r="U9" s="28" t="n">
        <v>26.1617479722671</v>
      </c>
      <c r="V9" s="28" t="n">
        <v>23.5082970015931</v>
      </c>
      <c r="W9" s="21" t="n">
        <v>20</v>
      </c>
      <c r="X9" s="21" t="n">
        <v>0</v>
      </c>
      <c r="Y9" s="24" t="n">
        <v>0.411377709543985</v>
      </c>
      <c r="Z9" s="16" t="n">
        <f aca="false">IF(B9="KEN",1,0)</f>
        <v>0</v>
      </c>
      <c r="AA9" s="16" t="n">
        <f aca="false">IF(D9&gt;=Inputs!$D$10,1,0)</f>
        <v>1</v>
      </c>
      <c r="AB9" s="33" t="n">
        <f aca="false">IF(AND(Z9=0,AA9=1),1,0)</f>
        <v>1</v>
      </c>
    </row>
    <row r="10" customFormat="false" ht="15" hidden="false" customHeight="false" outlineLevel="0" collapsed="false">
      <c r="A10" s="5" t="s">
        <v>227</v>
      </c>
      <c r="B10" s="5" t="s">
        <v>228</v>
      </c>
      <c r="C10" s="5" t="s">
        <v>224</v>
      </c>
      <c r="D10" s="21" t="n">
        <v>10289880</v>
      </c>
      <c r="E10" s="20" t="n">
        <v>0.133358944308869</v>
      </c>
      <c r="F10" s="20" t="n">
        <v>0.208983599359361</v>
      </c>
      <c r="G10" s="20" t="n">
        <v>0.150020897881618</v>
      </c>
      <c r="H10" s="20" t="n">
        <v>0.0502410563567403</v>
      </c>
      <c r="I10" s="20" t="n">
        <v>0.15233409757356</v>
      </c>
      <c r="J10" s="21" t="n">
        <v>2430.73298355271</v>
      </c>
      <c r="K10" s="28" t="n">
        <v>26.9315292389497</v>
      </c>
      <c r="L10" s="28" t="n">
        <v>72.9289782617702</v>
      </c>
      <c r="M10" s="28" t="n">
        <v>12.62689972</v>
      </c>
      <c r="N10" s="28" t="n">
        <v>13.4</v>
      </c>
      <c r="P10" s="23" t="n">
        <v>4.94853027382671</v>
      </c>
      <c r="Q10" s="28" t="n">
        <v>8.50796368035263</v>
      </c>
      <c r="R10" s="28" t="n">
        <v>2.97758321341949</v>
      </c>
      <c r="S10" s="28" t="n">
        <v>4.36013897245673</v>
      </c>
      <c r="T10" s="28" t="n">
        <v>3.5387780844665</v>
      </c>
      <c r="U10" s="28" t="n">
        <v>2.7392580805067</v>
      </c>
      <c r="V10" s="28" t="n">
        <v>8.4392212397547</v>
      </c>
      <c r="W10" s="21" t="n">
        <v>20</v>
      </c>
      <c r="X10" s="21" t="n">
        <v>40</v>
      </c>
      <c r="Y10" s="24" t="n">
        <v>0.0669019460887595</v>
      </c>
      <c r="Z10" s="16" t="n">
        <f aca="false">IF(B10="KEN",1,0)</f>
        <v>0</v>
      </c>
      <c r="AA10" s="16" t="n">
        <f aca="false">IF(D10&gt;=Inputs!$D$10,1,0)</f>
        <v>1</v>
      </c>
      <c r="AB10" s="33" t="n">
        <f aca="false">IF(AND(Z10=0,AA10=1),1,0)</f>
        <v>1</v>
      </c>
    </row>
    <row r="11" customFormat="false" ht="15" hidden="false" customHeight="false" outlineLevel="0" collapsed="false">
      <c r="A11" s="5" t="s">
        <v>229</v>
      </c>
      <c r="B11" s="5" t="s">
        <v>230</v>
      </c>
      <c r="C11" s="5" t="s">
        <v>218</v>
      </c>
      <c r="D11" s="21" t="n">
        <v>532331</v>
      </c>
      <c r="E11" s="20" t="n">
        <v>0.14093786340933</v>
      </c>
      <c r="F11" s="20" t="n">
        <v>0.454593974142566</v>
      </c>
      <c r="G11" s="20" t="n">
        <v>0.408476637365756</v>
      </c>
      <c r="H11" s="20" t="n">
        <v>0.0678462065090128</v>
      </c>
      <c r="J11" s="21" t="n">
        <v>3556.0384263801</v>
      </c>
      <c r="K11" s="28" t="n">
        <v>33.5392215673301</v>
      </c>
      <c r="L11" s="28" t="n">
        <v>109.855630436495</v>
      </c>
      <c r="M11" s="28" t="n">
        <v>32.51750183</v>
      </c>
      <c r="N11" s="28" t="n">
        <v>91.7</v>
      </c>
      <c r="O11" s="28" t="n">
        <v>20.844475612177</v>
      </c>
      <c r="P11" s="23" t="n">
        <v>1.89182789744612</v>
      </c>
      <c r="Q11" s="28" t="n">
        <v>8.65256570263064</v>
      </c>
      <c r="R11" s="28" t="n">
        <v>2.95570964901512</v>
      </c>
      <c r="S11" s="28" t="n">
        <v>2.98037997018611</v>
      </c>
      <c r="T11" s="28" t="n">
        <v>8.5239142815327</v>
      </c>
      <c r="U11" s="28" t="n">
        <v>5.9612695773596</v>
      </c>
      <c r="V11" s="28" t="n">
        <v>-4.7260982238739</v>
      </c>
      <c r="W11" s="21" t="n">
        <v>20</v>
      </c>
      <c r="X11" s="21" t="n">
        <v>40</v>
      </c>
      <c r="Z11" s="16" t="n">
        <f aca="false">IF(B11="KEN",1,0)</f>
        <v>0</v>
      </c>
      <c r="AA11" s="16" t="n">
        <f aca="false">IF(D11&gt;=Inputs!$D$10,1,0)</f>
        <v>0</v>
      </c>
      <c r="AB11" s="33" t="n">
        <f aca="false">IF(AND(Z11=0,AA11=1),1,0)</f>
        <v>0</v>
      </c>
    </row>
    <row r="12" customFormat="false" ht="15" hidden="false" customHeight="false" outlineLevel="0" collapsed="false">
      <c r="A12" s="5" t="s">
        <v>231</v>
      </c>
      <c r="B12" s="5" t="s">
        <v>232</v>
      </c>
      <c r="C12" s="5" t="s">
        <v>224</v>
      </c>
      <c r="D12" s="21" t="n">
        <v>57033055</v>
      </c>
      <c r="E12" s="20" t="n">
        <v>0.351182388076236</v>
      </c>
      <c r="F12" s="20" t="n">
        <v>0.392140115142227</v>
      </c>
      <c r="G12" s="20" t="n">
        <v>0.135068648234481</v>
      </c>
      <c r="H12" s="20" t="n">
        <v>0.0741241879471058</v>
      </c>
      <c r="I12" s="20" t="n">
        <v>0.160963405921963</v>
      </c>
      <c r="J12" s="21" t="n">
        <v>1601.70926640422</v>
      </c>
      <c r="K12" s="28" t="n">
        <v>44.7455804408753</v>
      </c>
      <c r="L12" s="28" t="n">
        <v>58.532153345468</v>
      </c>
      <c r="M12" s="28" t="n">
        <v>19.67350006</v>
      </c>
      <c r="N12" s="28" t="n">
        <v>22.5</v>
      </c>
      <c r="O12" s="28" t="n">
        <v>2.64241574731216</v>
      </c>
      <c r="P12" s="23" t="n">
        <v>3.24257627586721</v>
      </c>
      <c r="R12" s="28" t="n">
        <v>8.11686944539378</v>
      </c>
      <c r="S12" s="28" t="n">
        <v>7.98239623892686</v>
      </c>
      <c r="T12" s="28" t="n">
        <v>13.1793234867114</v>
      </c>
      <c r="U12" s="28" t="n">
        <v>20.0566717381407</v>
      </c>
      <c r="V12" s="28" t="n">
        <v>18.85161370375</v>
      </c>
      <c r="W12" s="21" t="n">
        <v>100</v>
      </c>
      <c r="X12" s="21" t="n">
        <v>0</v>
      </c>
      <c r="Y12" s="24" t="n">
        <v>0.150437721066368</v>
      </c>
      <c r="Z12" s="16" t="n">
        <f aca="false">IF(B12="KEN",1,0)</f>
        <v>0</v>
      </c>
      <c r="AA12" s="16" t="n">
        <f aca="false">IF(D12&gt;=Inputs!$D$10,1,0)</f>
        <v>1</v>
      </c>
      <c r="AB12" s="33" t="n">
        <f aca="false">IF(AND(Z12=0,AA12=1),1,0)</f>
        <v>1</v>
      </c>
    </row>
    <row r="13" customFormat="false" ht="15" hidden="false" customHeight="false" outlineLevel="0" collapsed="false">
      <c r="A13" s="5" t="s">
        <v>233</v>
      </c>
      <c r="B13" s="5" t="s">
        <v>234</v>
      </c>
      <c r="C13" s="5" t="s">
        <v>218</v>
      </c>
      <c r="D13" s="21" t="n">
        <v>3655093</v>
      </c>
      <c r="E13" s="20" t="n">
        <v>0.515921177135768</v>
      </c>
      <c r="F13" s="20" t="n">
        <v>0.555760387811851</v>
      </c>
      <c r="G13" s="20" t="n">
        <v>0.147200013718558</v>
      </c>
      <c r="H13" s="20" t="n">
        <v>0.0992573579698766</v>
      </c>
      <c r="I13" s="20" t="n">
        <v>0.0623843906135376</v>
      </c>
      <c r="J13" s="21" t="n">
        <v>6152.56509118442</v>
      </c>
      <c r="K13" s="28" t="n">
        <v>63.8866111699904</v>
      </c>
      <c r="L13" s="28" t="n">
        <v>95.5319320614796</v>
      </c>
      <c r="M13" s="28" t="n">
        <v>47.25159836</v>
      </c>
      <c r="N13" s="28" t="n">
        <v>53</v>
      </c>
      <c r="P13" s="23" t="n">
        <v>2.39829082784283</v>
      </c>
      <c r="Q13" s="28" t="n">
        <v>3.4788750973622</v>
      </c>
      <c r="R13" s="28" t="n">
        <v>2.97758321341949</v>
      </c>
      <c r="S13" s="28" t="n">
        <v>1.82740319198802</v>
      </c>
      <c r="T13" s="28" t="n">
        <v>8.70402707826889</v>
      </c>
      <c r="U13" s="28" t="n">
        <v>18.4760495492374</v>
      </c>
      <c r="V13" s="28" t="n">
        <v>14.286252324973</v>
      </c>
      <c r="W13" s="21" t="n">
        <v>20</v>
      </c>
      <c r="X13" s="21" t="n">
        <v>40</v>
      </c>
      <c r="Y13" s="24" t="n">
        <v>0.416403275483998</v>
      </c>
      <c r="Z13" s="16" t="n">
        <f aca="false">IF(B13="KEN",1,0)</f>
        <v>0</v>
      </c>
      <c r="AA13" s="16" t="n">
        <f aca="false">IF(D13&gt;=Inputs!$D$10,1,0)</f>
        <v>1</v>
      </c>
      <c r="AB13" s="33" t="n">
        <f aca="false">IF(AND(Z13=0,AA13=1),1,0)</f>
        <v>1</v>
      </c>
    </row>
    <row r="14" customFormat="false" ht="15" hidden="false" customHeight="false" outlineLevel="0" collapsed="false">
      <c r="A14" s="5" t="s">
        <v>235</v>
      </c>
      <c r="B14" s="5" t="s">
        <v>236</v>
      </c>
      <c r="C14" s="5" t="s">
        <v>218</v>
      </c>
      <c r="D14" s="21" t="n">
        <v>18301587</v>
      </c>
      <c r="E14" s="20" t="n">
        <v>0.533817787682129</v>
      </c>
      <c r="F14" s="20" t="n">
        <v>0.575676269730853</v>
      </c>
      <c r="G14" s="20" t="n">
        <v>0.168252204502837</v>
      </c>
      <c r="H14" s="20" t="n">
        <v>0.0915960392725843</v>
      </c>
      <c r="I14" s="20" t="n">
        <v>0.34053173436656</v>
      </c>
      <c r="J14" s="21" t="n">
        <v>6747.0379677706</v>
      </c>
      <c r="K14" s="28" t="n">
        <v>53.9733113940142</v>
      </c>
      <c r="L14" s="28" t="n">
        <v>183.875985110648</v>
      </c>
      <c r="M14" s="28" t="n">
        <v>41.43219902</v>
      </c>
      <c r="N14" s="28" t="n">
        <v>72.9</v>
      </c>
      <c r="O14" s="28" t="n">
        <v>2.03272330773983</v>
      </c>
      <c r="P14" s="23" t="n">
        <v>2.43618201263834</v>
      </c>
      <c r="Q14" s="28" t="n">
        <v>4.35126046366445</v>
      </c>
      <c r="R14" s="28" t="n">
        <v>2.97758321341949</v>
      </c>
      <c r="S14" s="28" t="n">
        <v>6.33980623293106</v>
      </c>
      <c r="T14" s="28" t="n">
        <v>8.814840740786</v>
      </c>
      <c r="U14" s="28" t="n">
        <v>22.0336603568179</v>
      </c>
      <c r="V14" s="28" t="n">
        <v>17.408348975017</v>
      </c>
      <c r="W14" s="21" t="n">
        <v>20</v>
      </c>
      <c r="X14" s="21" t="n">
        <v>100</v>
      </c>
      <c r="Y14" s="24" t="n">
        <v>0.119194232147488</v>
      </c>
      <c r="Z14" s="16" t="n">
        <f aca="false">IF(B14="KEN",1,0)</f>
        <v>0</v>
      </c>
      <c r="AA14" s="16" t="n">
        <f aca="false">IF(D14&gt;=Inputs!$D$10,1,0)</f>
        <v>1</v>
      </c>
      <c r="AB14" s="33" t="n">
        <f aca="false">IF(AND(Z14=0,AA14=1),1,0)</f>
        <v>1</v>
      </c>
    </row>
    <row r="15" customFormat="false" ht="15" hidden="false" customHeight="false" outlineLevel="0" collapsed="false">
      <c r="A15" s="5" t="s">
        <v>237</v>
      </c>
      <c r="B15" s="5" t="s">
        <v>238</v>
      </c>
      <c r="C15" s="5" t="s">
        <v>218</v>
      </c>
      <c r="D15" s="21" t="n">
        <v>816208</v>
      </c>
      <c r="E15" s="20" t="n">
        <v>0.504069175550071</v>
      </c>
      <c r="F15" s="20" t="n">
        <v>0.651160267166079</v>
      </c>
      <c r="G15" s="20" t="n">
        <v>0.431356221547265</v>
      </c>
      <c r="H15" s="20" t="n">
        <v>0.181668773149457</v>
      </c>
      <c r="J15" s="21" t="n">
        <v>10386.2145717572</v>
      </c>
      <c r="K15" s="28" t="n">
        <v>26.2498461258639</v>
      </c>
      <c r="L15" s="28" t="n">
        <v>139.833459658744</v>
      </c>
      <c r="M15" s="28" t="n">
        <v>63.40309906</v>
      </c>
      <c r="N15" s="28" t="n">
        <v>89.3</v>
      </c>
      <c r="O15" s="28" t="n">
        <v>0.686290886514352</v>
      </c>
      <c r="P15" s="23" t="n">
        <v>0.995913343966098</v>
      </c>
      <c r="R15" s="28" t="n">
        <v>7.14532599919854</v>
      </c>
      <c r="S15" s="28" t="n">
        <v>2.31675736289466</v>
      </c>
      <c r="T15" s="28" t="n">
        <v>1.0778074793945</v>
      </c>
      <c r="U15" s="28" t="n">
        <v>20.3801972338686</v>
      </c>
      <c r="W15" s="21" t="n">
        <v>20</v>
      </c>
      <c r="X15" s="21" t="n">
        <v>100</v>
      </c>
      <c r="Z15" s="16" t="n">
        <f aca="false">IF(B15="KEN",1,0)</f>
        <v>0</v>
      </c>
      <c r="AA15" s="16" t="n">
        <f aca="false">IF(D15&gt;=Inputs!$D$10,1,0)</f>
        <v>0</v>
      </c>
      <c r="AB15" s="33" t="n">
        <f aca="false">IF(AND(Z15=0,AA15=1),1,0)</f>
        <v>0</v>
      </c>
    </row>
    <row r="16" customFormat="false" ht="15" hidden="false" customHeight="false" outlineLevel="0" collapsed="false">
      <c r="A16" s="5" t="s">
        <v>239</v>
      </c>
      <c r="B16" s="5" t="s">
        <v>240</v>
      </c>
      <c r="C16" s="5" t="s">
        <v>224</v>
      </c>
      <c r="D16" s="21" t="n">
        <v>78031387</v>
      </c>
      <c r="E16" s="20" t="n">
        <v>0.0945488963590303</v>
      </c>
      <c r="F16" s="20" t="n">
        <v>0.488302767819942</v>
      </c>
      <c r="G16" s="20" t="n">
        <v>0.484704021453687</v>
      </c>
      <c r="H16" s="20" t="n">
        <v>0.0591085778001282</v>
      </c>
      <c r="I16" s="20" t="n">
        <v>0.0031592890372717</v>
      </c>
      <c r="J16" s="21" t="n">
        <v>2892.22220162795</v>
      </c>
      <c r="K16" s="28" t="n">
        <v>23.6222839355469</v>
      </c>
      <c r="L16" s="28" t="n">
        <v>65.0825091944922</v>
      </c>
      <c r="M16" s="28" t="n">
        <v>21.94129944</v>
      </c>
      <c r="N16" s="28" t="n">
        <v>56.6</v>
      </c>
      <c r="O16" s="28" t="n">
        <v>4.766710838993</v>
      </c>
      <c r="P16" s="23" t="n">
        <v>2.58350411214521</v>
      </c>
      <c r="Q16" s="28" t="n">
        <v>28.3821511937962</v>
      </c>
      <c r="R16" s="28" t="n">
        <v>21.1968365403222</v>
      </c>
      <c r="S16" s="28" t="n">
        <v>6.50959345052229</v>
      </c>
      <c r="W16" s="21" t="n">
        <v>60</v>
      </c>
      <c r="X16" s="21" t="n">
        <v>0</v>
      </c>
      <c r="Y16" s="24" t="n">
        <v>0.329146496280793</v>
      </c>
      <c r="Z16" s="16" t="n">
        <f aca="false">IF(B16="KEN",1,0)</f>
        <v>0</v>
      </c>
      <c r="AA16" s="16" t="n">
        <f aca="false">IF(D16&gt;=Inputs!$D$10,1,0)</f>
        <v>1</v>
      </c>
      <c r="AB16" s="33" t="n">
        <f aca="false">IF(AND(Z16=0,AA16=1),1,0)</f>
        <v>1</v>
      </c>
    </row>
    <row r="17" customFormat="false" ht="15" hidden="false" customHeight="false" outlineLevel="0" collapsed="false">
      <c r="A17" s="5" t="s">
        <v>241</v>
      </c>
      <c r="B17" s="5" t="s">
        <v>242</v>
      </c>
      <c r="C17" s="5" t="s">
        <v>221</v>
      </c>
      <c r="D17" s="21" t="n">
        <v>1573811</v>
      </c>
      <c r="E17" s="20" t="n">
        <v>0.616415501329653</v>
      </c>
      <c r="F17" s="20" t="n">
        <v>0.681812562934141</v>
      </c>
      <c r="G17" s="20" t="n">
        <v>0.248315311680186</v>
      </c>
      <c r="H17" s="20" t="n">
        <v>0.200726010138841</v>
      </c>
      <c r="I17" s="20" t="n">
        <v>0.435779884387753</v>
      </c>
      <c r="J17" s="21" t="n">
        <v>18923.6616609778</v>
      </c>
      <c r="K17" s="28" t="n">
        <v>91.8632094677575</v>
      </c>
      <c r="L17" s="28" t="n">
        <v>125.337107593999</v>
      </c>
      <c r="M17" s="28" t="n">
        <v>68.72090149</v>
      </c>
      <c r="N17" s="28" t="n">
        <v>95.1</v>
      </c>
      <c r="P17" s="23" t="n">
        <v>2.15636509762581</v>
      </c>
      <c r="Q17" s="28" t="n">
        <v>3.01112776947057</v>
      </c>
      <c r="R17" s="28" t="n">
        <v>2.97758321341949</v>
      </c>
      <c r="S17" s="28" t="n">
        <v>2.95686338029518</v>
      </c>
      <c r="T17" s="28" t="n">
        <v>8.2891386610771</v>
      </c>
      <c r="U17" s="28" t="n">
        <v>14.6589321242176</v>
      </c>
      <c r="V17" s="28" t="n">
        <v>9.57100721467801</v>
      </c>
      <c r="W17" s="21" t="n">
        <v>20</v>
      </c>
      <c r="X17" s="21" t="n">
        <v>100</v>
      </c>
      <c r="Y17" s="24" t="n">
        <v>0.287950477106203</v>
      </c>
      <c r="Z17" s="16" t="n">
        <f aca="false">IF(B17="KEN",1,0)</f>
        <v>0</v>
      </c>
      <c r="AA17" s="16" t="n">
        <f aca="false">IF(D17&gt;=Inputs!$D$10,1,0)</f>
        <v>0</v>
      </c>
      <c r="AB17" s="33" t="n">
        <f aca="false">IF(AND(Z17=0,AA17=1),1,0)</f>
        <v>0</v>
      </c>
    </row>
    <row r="18" customFormat="false" ht="15" hidden="false" customHeight="false" outlineLevel="0" collapsed="false">
      <c r="A18" s="5" t="s">
        <v>243</v>
      </c>
      <c r="B18" s="5" t="s">
        <v>244</v>
      </c>
      <c r="C18" s="5" t="s">
        <v>224</v>
      </c>
      <c r="D18" s="21" t="n">
        <v>1598990</v>
      </c>
      <c r="E18" s="20" t="n">
        <v>0.190885437839158</v>
      </c>
      <c r="F18" s="20" t="n">
        <v>0.381609042069027</v>
      </c>
      <c r="G18" s="20" t="n">
        <v>0.308469116498275</v>
      </c>
      <c r="H18" s="20" t="n">
        <v>0.0318125053866821</v>
      </c>
      <c r="J18" s="21" t="n">
        <v>3057.6841778633</v>
      </c>
      <c r="K18" s="28" t="n">
        <v>64.2994103409645</v>
      </c>
      <c r="L18" s="28" t="n">
        <v>126.243773523653</v>
      </c>
      <c r="M18" s="28" t="n">
        <v>49.49430084</v>
      </c>
      <c r="N18" s="28" t="n">
        <v>69</v>
      </c>
      <c r="O18" s="28" t="n">
        <v>21.9990433005617</v>
      </c>
      <c r="P18" s="23" t="n">
        <v>2.27730257212036</v>
      </c>
      <c r="Q18" s="28" t="n">
        <v>13.3494620303447</v>
      </c>
      <c r="R18" s="28" t="n">
        <v>9.10779209850417</v>
      </c>
      <c r="S18" s="28" t="n">
        <v>5.65368488455464</v>
      </c>
      <c r="T18" s="28" t="n">
        <v>2.0183378745124</v>
      </c>
      <c r="U18" s="28" t="n">
        <v>4.3523799462346</v>
      </c>
      <c r="V18" s="28" t="n">
        <v>16.7527486435482</v>
      </c>
      <c r="W18" s="21" t="n">
        <v>20</v>
      </c>
      <c r="X18" s="21" t="n">
        <v>100</v>
      </c>
      <c r="Z18" s="16" t="n">
        <f aca="false">IF(B18="KEN",1,0)</f>
        <v>0</v>
      </c>
      <c r="AA18" s="16" t="n">
        <f aca="false">IF(D18&gt;=Inputs!$D$10,1,0)</f>
        <v>0</v>
      </c>
      <c r="AB18" s="33" t="n">
        <f aca="false">IF(AND(Z18=0,AA18=1),1,0)</f>
        <v>0</v>
      </c>
    </row>
    <row r="19" customFormat="false" ht="15" hidden="false" customHeight="false" outlineLevel="0" collapsed="false">
      <c r="A19" s="5" t="s">
        <v>245</v>
      </c>
      <c r="B19" s="5" t="s">
        <v>246</v>
      </c>
      <c r="C19" s="5" t="s">
        <v>218</v>
      </c>
      <c r="D19" s="21" t="n">
        <v>21563813</v>
      </c>
      <c r="E19" s="20" t="n">
        <v>0.782813635015091</v>
      </c>
      <c r="F19" s="20" t="n">
        <v>0.812430252454858</v>
      </c>
      <c r="G19" s="20" t="n">
        <v>0.387411033756908</v>
      </c>
      <c r="H19" s="20" t="n">
        <v>0.272660123933136</v>
      </c>
      <c r="I19" s="20" t="n">
        <v>0.389477818238621</v>
      </c>
      <c r="J19" s="21" t="n">
        <v>7072.79879594445</v>
      </c>
      <c r="K19" s="28" t="n">
        <v>58.3654868038581</v>
      </c>
      <c r="L19" s="28" t="n">
        <v>113.647966704673</v>
      </c>
      <c r="M19" s="28" t="n">
        <v>72.17569733</v>
      </c>
      <c r="N19" s="28" t="n">
        <v>91.9</v>
      </c>
      <c r="O19" s="28" t="n">
        <v>3.63485196347604</v>
      </c>
      <c r="P19" s="23" t="n">
        <v>1.87500010333119</v>
      </c>
      <c r="Q19" s="28" t="n">
        <v>30.737062950112</v>
      </c>
      <c r="R19" s="28" t="n">
        <v>29.7709749365416</v>
      </c>
      <c r="S19" s="28" t="n">
        <v>4.26413644179537</v>
      </c>
      <c r="T19" s="28" t="n">
        <v>5.3116115514133</v>
      </c>
      <c r="U19" s="28" t="n">
        <v>18.2225455462151</v>
      </c>
      <c r="V19" s="28" t="n">
        <v>9.50752865950341</v>
      </c>
      <c r="W19" s="21" t="n">
        <v>20</v>
      </c>
      <c r="X19" s="21" t="n">
        <v>100</v>
      </c>
      <c r="Y19" s="24" t="n">
        <v>0.303389069587844</v>
      </c>
      <c r="Z19" s="16" t="n">
        <f aca="false">IF(B19="KEN",1,0)</f>
        <v>0</v>
      </c>
      <c r="AA19" s="16" t="n">
        <f aca="false">IF(D19&gt;=Inputs!$D$10,1,0)</f>
        <v>1</v>
      </c>
      <c r="AB19" s="33" t="n">
        <f aca="false">IF(AND(Z19=0,AA19=1),1,0)</f>
        <v>1</v>
      </c>
    </row>
    <row r="20" customFormat="false" ht="15" hidden="false" customHeight="false" outlineLevel="0" collapsed="false">
      <c r="A20" s="5" t="s">
        <v>247</v>
      </c>
      <c r="B20" s="5" t="s">
        <v>248</v>
      </c>
      <c r="C20" s="5" t="s">
        <v>224</v>
      </c>
      <c r="D20" s="21" t="n">
        <v>8464230</v>
      </c>
      <c r="E20" s="20" t="n">
        <v>0.258219395095297</v>
      </c>
      <c r="F20" s="20" t="n">
        <v>0.360480250155865</v>
      </c>
      <c r="G20" s="20" t="n">
        <v>0.16903357058626</v>
      </c>
      <c r="H20" s="20" t="n">
        <v>0.0840533277003318</v>
      </c>
      <c r="I20" s="20" t="n">
        <v>0.13780468730052</v>
      </c>
      <c r="J20" s="21" t="n">
        <v>4016.34191385979</v>
      </c>
      <c r="K20" s="28" t="n">
        <v>38.0713036688655</v>
      </c>
      <c r="L20" s="28" t="n">
        <v>97.8794996455513</v>
      </c>
      <c r="M20" s="28" t="n">
        <v>33.30469894</v>
      </c>
      <c r="N20" s="28" t="n">
        <v>53.8</v>
      </c>
      <c r="O20" s="28" t="n">
        <v>2.46482438123289</v>
      </c>
      <c r="P20" s="23" t="n">
        <v>2.39595802290484</v>
      </c>
      <c r="Q20" s="28" t="n">
        <v>8.8070520224027</v>
      </c>
      <c r="S20" s="28" t="n">
        <v>4.95472703959229</v>
      </c>
      <c r="T20" s="28" t="n">
        <v>10.3596914005647</v>
      </c>
      <c r="U20" s="28" t="n">
        <v>15.6055798431997</v>
      </c>
      <c r="V20" s="28" t="n">
        <v>16.3890399371458</v>
      </c>
      <c r="W20" s="21" t="n">
        <v>20</v>
      </c>
      <c r="X20" s="21" t="n">
        <v>100</v>
      </c>
      <c r="Y20" s="24" t="n">
        <v>0.289936699328573</v>
      </c>
      <c r="Z20" s="16" t="n">
        <f aca="false">IF(B20="KEN",1,0)</f>
        <v>0</v>
      </c>
      <c r="AA20" s="16" t="n">
        <f aca="false">IF(D20&gt;=Inputs!$D$10,1,0)</f>
        <v>1</v>
      </c>
      <c r="AB20" s="33" t="n">
        <f aca="false">IF(AND(Z20=0,AA20=1),1,0)</f>
        <v>1</v>
      </c>
    </row>
    <row r="21" customFormat="false" ht="15" hidden="false" customHeight="false" outlineLevel="0" collapsed="false">
      <c r="A21" s="5" t="s">
        <v>249</v>
      </c>
      <c r="B21" s="5" t="s">
        <v>250</v>
      </c>
      <c r="C21" s="5" t="s">
        <v>218</v>
      </c>
      <c r="D21" s="21" t="n">
        <v>34616135</v>
      </c>
      <c r="E21" s="20" t="n">
        <v>0.874994112747318</v>
      </c>
      <c r="F21" s="20" t="n">
        <v>0.901199173733613</v>
      </c>
      <c r="G21" s="20" t="n">
        <v>0.454278443671719</v>
      </c>
      <c r="H21" s="20" t="n">
        <v>0.557570024721425</v>
      </c>
      <c r="I21" s="20" t="n">
        <v>0.729316807234182</v>
      </c>
      <c r="J21" s="21" t="n">
        <v>5841.59866001706</v>
      </c>
      <c r="K21" s="28" t="n">
        <v>31.8937831721599</v>
      </c>
      <c r="L21" s="28" t="n">
        <v>126.477706000949</v>
      </c>
      <c r="M21" s="28" t="n">
        <v>34.97622513</v>
      </c>
      <c r="N21" s="28" t="n">
        <v>77</v>
      </c>
      <c r="O21" s="28" t="n">
        <v>4.15276804487157</v>
      </c>
      <c r="P21" s="23" t="n">
        <v>1.95751431565234</v>
      </c>
      <c r="Q21" s="28" t="n">
        <v>6.60701585515024</v>
      </c>
      <c r="R21" s="28" t="n">
        <v>6.89257520135242</v>
      </c>
      <c r="S21" s="28" t="n">
        <v>5.08005646691366</v>
      </c>
      <c r="T21" s="28" t="n">
        <v>8.1622887192728</v>
      </c>
      <c r="U21" s="28" t="n">
        <v>11.8920903040254</v>
      </c>
      <c r="V21" s="28" t="n">
        <v>8.2310026455974</v>
      </c>
      <c r="W21" s="21" t="n">
        <v>20</v>
      </c>
      <c r="X21" s="21" t="n">
        <v>100</v>
      </c>
      <c r="Y21" s="24" t="n">
        <v>0.131393487840684</v>
      </c>
      <c r="Z21" s="16" t="n">
        <f aca="false">IF(B21="KEN",1,0)</f>
        <v>1</v>
      </c>
      <c r="AA21" s="16" t="n">
        <f aca="false">IF(D21&gt;=Inputs!$D$10,1,0)</f>
        <v>1</v>
      </c>
      <c r="AB21" s="33" t="n">
        <f aca="false">IF(AND(Z21=0,AA21=1),1,0)</f>
        <v>0</v>
      </c>
    </row>
    <row r="22" customFormat="false" ht="15" hidden="false" customHeight="false" outlineLevel="0" collapsed="false">
      <c r="A22" s="5" t="s">
        <v>251</v>
      </c>
      <c r="B22" s="5" t="s">
        <v>252</v>
      </c>
      <c r="C22" s="5" t="s">
        <v>218</v>
      </c>
      <c r="D22" s="21" t="n">
        <v>1504222</v>
      </c>
      <c r="E22" s="20" t="n">
        <v>0.534728194557147</v>
      </c>
      <c r="F22" s="20" t="n">
        <v>0.615710444951092</v>
      </c>
      <c r="G22" s="20" t="n">
        <v>0.335292030790839</v>
      </c>
      <c r="H22" s="20" t="n">
        <v>0.157045781305587</v>
      </c>
      <c r="I22" s="20" t="n">
        <v>0.276418432079782</v>
      </c>
      <c r="J22" s="21" t="n">
        <v>2697.62738436647</v>
      </c>
      <c r="K22" s="28" t="n">
        <v>43.6780334209246</v>
      </c>
      <c r="L22" s="28" t="n">
        <v>70.328049309004</v>
      </c>
      <c r="M22" s="28" t="n">
        <v>51.79660034</v>
      </c>
      <c r="N22" s="28" t="n">
        <v>60.6</v>
      </c>
      <c r="O22" s="28" t="n">
        <v>19.8980595548147</v>
      </c>
      <c r="P22" s="23" t="n">
        <v>1.11644894351979</v>
      </c>
      <c r="Q22" s="28" t="n">
        <v>6.90648919104337</v>
      </c>
      <c r="R22" s="28" t="n">
        <v>7.17601135124597</v>
      </c>
      <c r="S22" s="28" t="n">
        <v>3.10238192710386</v>
      </c>
      <c r="T22" s="28" t="n">
        <v>0.158521050045102</v>
      </c>
      <c r="V22" s="28" t="n">
        <v>7.9491494938147</v>
      </c>
      <c r="W22" s="21" t="n">
        <v>20</v>
      </c>
      <c r="X22" s="21" t="n">
        <v>100</v>
      </c>
      <c r="Y22" s="24" t="n">
        <v>0.157743936310334</v>
      </c>
      <c r="Z22" s="16" t="n">
        <f aca="false">IF(B22="KEN",1,0)</f>
        <v>0</v>
      </c>
      <c r="AA22" s="16" t="n">
        <f aca="false">IF(D22&gt;=Inputs!$D$10,1,0)</f>
        <v>0</v>
      </c>
      <c r="AB22" s="33" t="n">
        <f aca="false">IF(AND(Z22=0,AA22=1),1,0)</f>
        <v>0</v>
      </c>
    </row>
    <row r="23" customFormat="false" ht="15" hidden="false" customHeight="false" outlineLevel="0" collapsed="false">
      <c r="A23" s="5" t="s">
        <v>253</v>
      </c>
      <c r="B23" s="5" t="s">
        <v>254</v>
      </c>
      <c r="C23" s="5" t="s">
        <v>224</v>
      </c>
      <c r="D23" s="21" t="n">
        <v>3295997</v>
      </c>
      <c r="E23" s="20" t="n">
        <v>0.475292537260812</v>
      </c>
      <c r="F23" s="20" t="n">
        <v>0.522139331485699</v>
      </c>
      <c r="G23" s="20" t="n">
        <v>0.138832555942459</v>
      </c>
      <c r="H23" s="20" t="n">
        <v>0.0645075322022916</v>
      </c>
      <c r="I23" s="20" t="n">
        <v>0.208433918876049</v>
      </c>
      <c r="J23" s="21" t="n">
        <v>1646.05861366601</v>
      </c>
      <c r="K23" s="28" t="n">
        <v>55.5387986654968</v>
      </c>
      <c r="L23" s="28" t="n">
        <v>32.0638885570006</v>
      </c>
      <c r="M23" s="28" t="n">
        <v>32.23360062</v>
      </c>
      <c r="N23" s="28" t="n">
        <v>34.9</v>
      </c>
      <c r="O23" s="28" t="n">
        <v>21.2758383451019</v>
      </c>
      <c r="P23" s="23" t="n">
        <v>2.15725346515291</v>
      </c>
      <c r="Q23" s="28" t="n">
        <v>8.63413760778262</v>
      </c>
      <c r="R23" s="28" t="n">
        <v>4.69881523335391</v>
      </c>
      <c r="S23" s="28" t="n">
        <v>4.50457223672267</v>
      </c>
      <c r="T23" s="28" t="n">
        <v>10.9078861039991</v>
      </c>
      <c r="U23" s="28" t="n">
        <v>17.7022464111982</v>
      </c>
      <c r="V23" s="28" t="n">
        <v>15.9542974709038</v>
      </c>
      <c r="W23" s="21" t="n">
        <v>20</v>
      </c>
      <c r="X23" s="21" t="n">
        <v>100</v>
      </c>
      <c r="Y23" s="24" t="n">
        <v>0.177387342655069</v>
      </c>
      <c r="Z23" s="16" t="n">
        <f aca="false">IF(B23="KEN",1,0)</f>
        <v>0</v>
      </c>
      <c r="AA23" s="16" t="n">
        <f aca="false">IF(D23&gt;=Inputs!$D$10,1,0)</f>
        <v>1</v>
      </c>
      <c r="AB23" s="33" t="n">
        <f aca="false">IF(AND(Z23=0,AA23=1),1,0)</f>
        <v>1</v>
      </c>
    </row>
    <row r="24" customFormat="false" ht="15" hidden="false" customHeight="false" outlineLevel="0" collapsed="false">
      <c r="A24" s="5" t="s">
        <v>255</v>
      </c>
      <c r="B24" s="5" t="s">
        <v>256</v>
      </c>
      <c r="C24" s="5" t="s">
        <v>224</v>
      </c>
      <c r="D24" s="21" t="n">
        <v>18851036</v>
      </c>
      <c r="E24" s="20" t="n">
        <v>0.193550167093779</v>
      </c>
      <c r="F24" s="20" t="n">
        <v>0.244501397197571</v>
      </c>
      <c r="G24" s="20" t="n">
        <v>0.0945326625355516</v>
      </c>
      <c r="H24" s="20" t="n">
        <v>0.024181526171983</v>
      </c>
      <c r="I24" s="20" t="n">
        <v>0.120553027097542</v>
      </c>
      <c r="J24" s="21" t="n">
        <v>1659.15030770194</v>
      </c>
      <c r="K24" s="28" t="n">
        <v>32.4339893339844</v>
      </c>
      <c r="L24" s="28" t="n">
        <v>75.4562966735535</v>
      </c>
      <c r="M24" s="28" t="n">
        <v>18.67790031</v>
      </c>
      <c r="N24" s="28" t="n">
        <v>42.5</v>
      </c>
      <c r="O24" s="28" t="n">
        <v>2.30923332864651</v>
      </c>
      <c r="P24" s="23" t="n">
        <v>2.43524760129506</v>
      </c>
      <c r="Q24" s="28" t="n">
        <v>8.54942497116818</v>
      </c>
      <c r="R24" s="28" t="n">
        <v>5.56174713429355</v>
      </c>
      <c r="S24" s="28" t="n">
        <v>4.23041281246881</v>
      </c>
      <c r="T24" s="28" t="n">
        <v>9.6580478349425</v>
      </c>
      <c r="U24" s="28" t="n">
        <v>16.9388544860336</v>
      </c>
      <c r="V24" s="28" t="n">
        <v>13.9410485253261</v>
      </c>
      <c r="W24" s="21" t="n">
        <v>20</v>
      </c>
      <c r="X24" s="21" t="n">
        <v>100</v>
      </c>
      <c r="Y24" s="24" t="n">
        <v>0.158205753801165</v>
      </c>
      <c r="Z24" s="16" t="n">
        <f aca="false">IF(B24="KEN",1,0)</f>
        <v>0</v>
      </c>
      <c r="AA24" s="16" t="n">
        <f aca="false">IF(D24&gt;=Inputs!$D$10,1,0)</f>
        <v>1</v>
      </c>
      <c r="AB24" s="33" t="n">
        <f aca="false">IF(AND(Z24=0,AA24=1),1,0)</f>
        <v>1</v>
      </c>
    </row>
    <row r="25" customFormat="false" ht="15" hidden="false" customHeight="false" outlineLevel="0" collapsed="false">
      <c r="A25" s="5" t="s">
        <v>257</v>
      </c>
      <c r="B25" s="5" t="s">
        <v>258</v>
      </c>
      <c r="C25" s="5" t="s">
        <v>224</v>
      </c>
      <c r="D25" s="21" t="n">
        <v>12384937</v>
      </c>
      <c r="E25" s="20" t="n">
        <v>0.473991978362086</v>
      </c>
      <c r="F25" s="20" t="n">
        <v>0.503696725002439</v>
      </c>
      <c r="G25" s="20" t="n">
        <v>0.124066910444222</v>
      </c>
      <c r="H25" s="20" t="n">
        <v>0.104353134870286</v>
      </c>
      <c r="I25" s="20" t="n">
        <v>0.203028316584637</v>
      </c>
      <c r="J25" s="21" t="n">
        <v>1634.24660266597</v>
      </c>
      <c r="K25" s="28" t="n">
        <v>17.268503531213</v>
      </c>
      <c r="L25" s="28" t="n">
        <v>69.260530662121</v>
      </c>
      <c r="M25" s="28" t="n">
        <v>18.96159935</v>
      </c>
      <c r="N25" s="28" t="n">
        <v>15.6</v>
      </c>
      <c r="O25" s="28" t="n">
        <v>1.97676396289947</v>
      </c>
      <c r="P25" s="23" t="n">
        <v>2.57641467045761</v>
      </c>
      <c r="Q25" s="28" t="n">
        <v>27.3077876590671</v>
      </c>
      <c r="R25" s="28" t="n">
        <v>18.2579513850987</v>
      </c>
      <c r="S25" s="28" t="n">
        <v>1.51343399035243</v>
      </c>
      <c r="T25" s="28" t="n">
        <v>7.63216378584979</v>
      </c>
      <c r="U25" s="28" t="n">
        <v>21.0229723706148</v>
      </c>
      <c r="V25" s="28" t="n">
        <v>13.0358740883542</v>
      </c>
      <c r="W25" s="21" t="n">
        <v>60</v>
      </c>
      <c r="X25" s="21" t="n">
        <v>100</v>
      </c>
      <c r="Y25" s="24" t="n">
        <v>0.293375796660165</v>
      </c>
      <c r="Z25" s="16" t="n">
        <f aca="false">IF(B25="KEN",1,0)</f>
        <v>0</v>
      </c>
      <c r="AA25" s="16" t="n">
        <f aca="false">IF(D25&gt;=Inputs!$D$10,1,0)</f>
        <v>1</v>
      </c>
      <c r="AB25" s="33" t="n">
        <f aca="false">IF(AND(Z25=0,AA25=1),1,0)</f>
        <v>1</v>
      </c>
    </row>
    <row r="26" customFormat="false" ht="15" hidden="false" customHeight="false" outlineLevel="0" collapsed="false">
      <c r="A26" s="5" t="s">
        <v>259</v>
      </c>
      <c r="B26" s="5" t="s">
        <v>260</v>
      </c>
      <c r="C26" s="5" t="s">
        <v>224</v>
      </c>
      <c r="D26" s="21" t="n">
        <v>12725942</v>
      </c>
      <c r="E26" s="20" t="n">
        <v>0.483876158762192</v>
      </c>
      <c r="F26" s="20" t="n">
        <v>0.547454806007539</v>
      </c>
      <c r="G26" s="20" t="n">
        <v>0.184475281208862</v>
      </c>
      <c r="H26" s="20" t="n">
        <v>0.102050618427009</v>
      </c>
      <c r="I26" s="20" t="n">
        <v>0.243976485830717</v>
      </c>
      <c r="J26" s="21" t="n">
        <v>2917.93245883671</v>
      </c>
      <c r="K26" s="28" t="n">
        <v>31.6075621182225</v>
      </c>
      <c r="L26" s="28" t="n">
        <v>112.119852778009</v>
      </c>
      <c r="M26" s="28" t="n">
        <v>36.80149841</v>
      </c>
      <c r="N26" s="28" t="n">
        <v>49.5</v>
      </c>
      <c r="O26" s="28" t="n">
        <v>3.99433597388338</v>
      </c>
      <c r="P26" s="23" t="n">
        <v>2.94115084753028</v>
      </c>
      <c r="Q26" s="28" t="n">
        <v>4.96222566954315</v>
      </c>
      <c r="R26" s="28" t="n">
        <v>2.97758321341949</v>
      </c>
      <c r="S26" s="28" t="n">
        <v>4.49455568944034</v>
      </c>
      <c r="T26" s="28" t="n">
        <v>15.6127704102939</v>
      </c>
      <c r="U26" s="28" t="n">
        <v>18.2559512865497</v>
      </c>
      <c r="V26" s="28" t="n">
        <v>13.030751382305</v>
      </c>
      <c r="W26" s="21" t="n">
        <v>20</v>
      </c>
      <c r="X26" s="21" t="n">
        <v>0</v>
      </c>
      <c r="Y26" s="24" t="n">
        <v>0.17791196157753</v>
      </c>
      <c r="Z26" s="16" t="n">
        <f aca="false">IF(B26="KEN",1,0)</f>
        <v>0</v>
      </c>
      <c r="AA26" s="16" t="n">
        <f aca="false">IF(D26&gt;=Inputs!$D$10,1,0)</f>
        <v>1</v>
      </c>
      <c r="AB26" s="33" t="n">
        <f aca="false">IF(AND(Z26=0,AA26=1),1,0)</f>
        <v>1</v>
      </c>
    </row>
    <row r="27" customFormat="false" ht="15" hidden="false" customHeight="false" outlineLevel="0" collapsed="false">
      <c r="A27" s="5" t="s">
        <v>261</v>
      </c>
      <c r="B27" s="5" t="s">
        <v>262</v>
      </c>
      <c r="C27" s="5" t="s">
        <v>221</v>
      </c>
      <c r="D27" s="21" t="n">
        <v>1070318</v>
      </c>
      <c r="E27" s="20" t="n">
        <v>0.101270671725304</v>
      </c>
      <c r="F27" s="20" t="n">
        <v>0.895984480347546</v>
      </c>
      <c r="G27" s="20" t="n">
        <v>0.895179808040253</v>
      </c>
      <c r="H27" s="20" t="n">
        <v>0.49889578824496</v>
      </c>
      <c r="I27" s="20" t="n">
        <v>0.0562693714475588</v>
      </c>
      <c r="J27" s="21" t="n">
        <v>27844.8956114831</v>
      </c>
      <c r="K27" s="28" t="n">
        <v>39.0162147027917</v>
      </c>
      <c r="L27" s="28" t="n">
        <v>172.68356921857</v>
      </c>
      <c r="M27" s="28" t="n">
        <v>73.30793533</v>
      </c>
      <c r="N27" s="28" t="n">
        <v>100</v>
      </c>
      <c r="O27" s="28" t="n">
        <v>1.92042789803528</v>
      </c>
      <c r="P27" s="23" t="n">
        <v>-0.2299528038748</v>
      </c>
      <c r="Q27" s="28" t="n">
        <v>7.14375188243895</v>
      </c>
      <c r="R27" s="28" t="n">
        <v>3.57677396176953</v>
      </c>
      <c r="S27" s="28" t="n">
        <v>5.99668935062829</v>
      </c>
      <c r="T27" s="28" t="n">
        <v>4.54912730507479</v>
      </c>
      <c r="U27" s="28" t="n">
        <v>8.75440939081005</v>
      </c>
      <c r="V27" s="28" t="n">
        <v>0.978313158550631</v>
      </c>
      <c r="W27" s="21" t="n">
        <v>20</v>
      </c>
      <c r="X27" s="21" t="n">
        <v>100</v>
      </c>
      <c r="Y27" s="24" t="n">
        <v>0.260394373350477</v>
      </c>
      <c r="Z27" s="16" t="n">
        <f aca="false">IF(B27="KEN",1,0)</f>
        <v>0</v>
      </c>
      <c r="AA27" s="16" t="n">
        <f aca="false">IF(D27&gt;=Inputs!$D$10,1,0)</f>
        <v>0</v>
      </c>
      <c r="AB27" s="33" t="n">
        <f aca="false">IF(AND(Z27=0,AA27=1),1,0)</f>
        <v>0</v>
      </c>
    </row>
    <row r="28" customFormat="false" ht="15" hidden="false" customHeight="false" outlineLevel="0" collapsed="false">
      <c r="A28" s="5" t="s">
        <v>263</v>
      </c>
      <c r="B28" s="5" t="s">
        <v>264</v>
      </c>
      <c r="C28" s="5" t="s">
        <v>224</v>
      </c>
      <c r="D28" s="21" t="n">
        <v>18581790</v>
      </c>
      <c r="E28" s="20" t="n">
        <v>0.457209859704018</v>
      </c>
      <c r="F28" s="20" t="n">
        <v>0.5438528750107</v>
      </c>
      <c r="G28" s="20" t="n">
        <v>0.250840349014967</v>
      </c>
      <c r="H28" s="20" t="n">
        <v>0.184743505713139</v>
      </c>
      <c r="I28" s="20" t="n">
        <v>0.218668207548091</v>
      </c>
      <c r="J28" s="21" t="n">
        <v>1500.70758504856</v>
      </c>
      <c r="K28" s="28" t="n">
        <v>36.4332337447237</v>
      </c>
      <c r="L28" s="28" t="n">
        <v>49.5047696961223</v>
      </c>
      <c r="M28" s="28" t="n">
        <v>20.52729988</v>
      </c>
      <c r="N28" s="28" t="n">
        <v>36.9</v>
      </c>
      <c r="O28" s="28" t="n">
        <v>1.17313632356755</v>
      </c>
      <c r="P28" s="23" t="n">
        <v>2.91994049442347</v>
      </c>
      <c r="Q28" s="28" t="n">
        <v>7.16164832626024</v>
      </c>
      <c r="R28" s="28" t="n">
        <v>-0.803934769867946</v>
      </c>
      <c r="S28" s="28" t="n">
        <v>4.00735919241212</v>
      </c>
      <c r="T28" s="28" t="n">
        <v>17.1899386115673</v>
      </c>
      <c r="U28" s="28" t="n">
        <v>28.5049358153984</v>
      </c>
      <c r="V28" s="28" t="n">
        <v>28.9631696327109</v>
      </c>
      <c r="W28" s="21" t="n">
        <v>60</v>
      </c>
      <c r="X28" s="21" t="n">
        <v>0</v>
      </c>
      <c r="Y28" s="24" t="n">
        <v>0.154255699672898</v>
      </c>
      <c r="Z28" s="16" t="n">
        <f aca="false">IF(B28="KEN",1,0)</f>
        <v>0</v>
      </c>
      <c r="AA28" s="16" t="n">
        <f aca="false">IF(D28&gt;=Inputs!$D$10,1,0)</f>
        <v>1</v>
      </c>
      <c r="AB28" s="33" t="n">
        <f aca="false">IF(AND(Z28=0,AA28=1),1,0)</f>
        <v>1</v>
      </c>
    </row>
    <row r="29" customFormat="false" ht="15" hidden="false" customHeight="false" outlineLevel="0" collapsed="false">
      <c r="A29" s="5" t="s">
        <v>265</v>
      </c>
      <c r="B29" s="5" t="s">
        <v>266</v>
      </c>
      <c r="C29" s="5" t="s">
        <v>221</v>
      </c>
      <c r="D29" s="21" t="n">
        <v>1858089</v>
      </c>
      <c r="E29" s="20" t="n">
        <v>0.484473580646797</v>
      </c>
      <c r="F29" s="20" t="n">
        <v>0.729187672893525</v>
      </c>
      <c r="G29" s="20" t="n">
        <v>0.626974953762263</v>
      </c>
      <c r="H29" s="20" t="n">
        <v>0.385722641043198</v>
      </c>
      <c r="I29" s="20" t="n">
        <v>0.434294696604372</v>
      </c>
      <c r="J29" s="21" t="n">
        <v>10276.3686426386</v>
      </c>
      <c r="K29" s="28" t="n">
        <v>50.4088030252155</v>
      </c>
      <c r="L29" s="28" t="n">
        <v>85.1648988113055</v>
      </c>
      <c r="M29" s="28" t="n">
        <v>64.87460327</v>
      </c>
      <c r="N29" s="28" t="n">
        <v>59.3</v>
      </c>
      <c r="O29" s="28" t="n">
        <v>0.707386765887929</v>
      </c>
      <c r="P29" s="23" t="n">
        <v>2.23715227334598</v>
      </c>
      <c r="Q29" s="28" t="n">
        <v>5.40008500091241</v>
      </c>
      <c r="R29" s="28" t="n">
        <v>7.17602002393735</v>
      </c>
      <c r="S29" s="28" t="n">
        <v>4.50074083390312</v>
      </c>
      <c r="T29" s="28" t="n">
        <v>1.2125731092053</v>
      </c>
      <c r="U29" s="28" t="n">
        <v>21.1928657602647</v>
      </c>
      <c r="V29" s="28" t="n">
        <v>12.141007322389</v>
      </c>
      <c r="W29" s="21" t="n">
        <v>20</v>
      </c>
      <c r="X29" s="21" t="n">
        <v>100</v>
      </c>
      <c r="Y29" s="24" t="n">
        <v>0.179542161297689</v>
      </c>
      <c r="Z29" s="16" t="n">
        <f aca="false">IF(B29="KEN",1,0)</f>
        <v>0</v>
      </c>
      <c r="AA29" s="16" t="n">
        <f aca="false">IF(D29&gt;=Inputs!$D$10,1,0)</f>
        <v>0</v>
      </c>
      <c r="AB29" s="33" t="n">
        <f aca="false">IF(AND(Z29=0,AA29=1),1,0)</f>
        <v>0</v>
      </c>
    </row>
    <row r="30" customFormat="false" ht="15" hidden="false" customHeight="false" outlineLevel="0" collapsed="false">
      <c r="A30" s="5" t="s">
        <v>267</v>
      </c>
      <c r="B30" s="5" t="s">
        <v>268</v>
      </c>
      <c r="C30" s="5" t="s">
        <v>224</v>
      </c>
      <c r="D30" s="21" t="n">
        <v>13873697</v>
      </c>
      <c r="E30" s="20" t="n">
        <v>0.0570037064304953</v>
      </c>
      <c r="F30" s="20" t="n">
        <v>0.148268991865027</v>
      </c>
      <c r="G30" s="20" t="n">
        <v>0.126669935650172</v>
      </c>
      <c r="H30" s="20" t="n">
        <v>0.024256928877143</v>
      </c>
      <c r="I30" s="20" t="n">
        <v>0.0871723826236785</v>
      </c>
      <c r="J30" s="21" t="n">
        <v>1795.65266888022</v>
      </c>
      <c r="K30" s="28" t="n">
        <v>18.0497398450803</v>
      </c>
      <c r="L30" s="28" t="n">
        <v>60.5939862118112</v>
      </c>
      <c r="M30" s="28" t="n">
        <v>15.55760002</v>
      </c>
      <c r="N30" s="28" t="n">
        <v>21.3</v>
      </c>
      <c r="O30" s="28" t="n">
        <v>3.29647457556865</v>
      </c>
      <c r="P30" s="23" t="n">
        <v>3.28101480132484</v>
      </c>
      <c r="Q30" s="28" t="n">
        <v>5.66623702022413</v>
      </c>
      <c r="R30" s="28" t="n">
        <v>2.97758321341949</v>
      </c>
      <c r="S30" s="28" t="n">
        <v>7.72666337784132</v>
      </c>
      <c r="W30" s="21" t="n">
        <v>20</v>
      </c>
      <c r="X30" s="21" t="n">
        <v>0</v>
      </c>
      <c r="Y30" s="24" t="n">
        <v>0.0152978103498661</v>
      </c>
      <c r="Z30" s="16" t="n">
        <f aca="false">IF(B30="KEN",1,0)</f>
        <v>0</v>
      </c>
      <c r="AA30" s="16" t="n">
        <f aca="false">IF(D30&gt;=Inputs!$D$10,1,0)</f>
        <v>1</v>
      </c>
      <c r="AB30" s="33" t="n">
        <f aca="false">IF(AND(Z30=0,AA30=1),1,0)</f>
        <v>1</v>
      </c>
    </row>
    <row r="31" customFormat="false" ht="15" hidden="false" customHeight="false" outlineLevel="0" collapsed="false">
      <c r="A31" s="5" t="s">
        <v>269</v>
      </c>
      <c r="B31" s="5" t="s">
        <v>270</v>
      </c>
      <c r="C31" s="5" t="s">
        <v>218</v>
      </c>
      <c r="D31" s="21" t="n">
        <v>133329232</v>
      </c>
      <c r="E31" s="20" t="n">
        <v>0.327907521346508</v>
      </c>
      <c r="F31" s="20" t="n">
        <v>0.632613514491542</v>
      </c>
      <c r="G31" s="20" t="n">
        <v>0.597277056302937</v>
      </c>
      <c r="H31" s="20" t="n">
        <v>0.283892823105175</v>
      </c>
      <c r="I31" s="20" t="n">
        <v>0.0560616521266374</v>
      </c>
      <c r="J31" s="21" t="n">
        <v>7994.03754470824</v>
      </c>
      <c r="K31" s="28" t="n">
        <v>62.9755675573659</v>
      </c>
      <c r="L31" s="28" t="n">
        <v>70.7619057835431</v>
      </c>
      <c r="M31" s="28" t="n">
        <v>41.21139908</v>
      </c>
      <c r="N31" s="28" t="n">
        <v>62.5</v>
      </c>
      <c r="O31" s="28" t="n">
        <v>8.77134410191558</v>
      </c>
      <c r="P31" s="23" t="n">
        <v>2.08297776184189</v>
      </c>
      <c r="Q31" s="28" t="n">
        <v>25.5827990142387</v>
      </c>
      <c r="R31" s="28" t="n">
        <v>43.4919150189593</v>
      </c>
      <c r="S31" s="28" t="n">
        <v>3.90193322472092</v>
      </c>
      <c r="T31" s="28" t="n">
        <v>15.5406318748036</v>
      </c>
      <c r="U31" s="28" t="n">
        <v>18.1186161100854</v>
      </c>
      <c r="V31" s="28" t="n">
        <v>9.0920021210644</v>
      </c>
      <c r="W31" s="21" t="n">
        <v>20</v>
      </c>
      <c r="X31" s="21" t="n">
        <v>0</v>
      </c>
      <c r="Y31" s="24" t="n">
        <v>0.277600979105781</v>
      </c>
      <c r="Z31" s="16" t="n">
        <f aca="false">IF(B31="KEN",1,0)</f>
        <v>0</v>
      </c>
      <c r="AA31" s="16" t="n">
        <f aca="false">IF(D31&gt;=Inputs!$D$10,1,0)</f>
        <v>1</v>
      </c>
      <c r="AB31" s="33" t="n">
        <f aca="false">IF(AND(Z31=0,AA31=1),1,0)</f>
        <v>1</v>
      </c>
    </row>
    <row r="32" customFormat="false" ht="15" hidden="false" customHeight="false" outlineLevel="0" collapsed="false">
      <c r="A32" s="5" t="s">
        <v>271</v>
      </c>
      <c r="B32" s="5" t="s">
        <v>272</v>
      </c>
      <c r="C32" s="5" t="s">
        <v>218</v>
      </c>
      <c r="D32" s="21" t="n">
        <v>11094279</v>
      </c>
      <c r="E32" s="20" t="n">
        <v>0.66912648954156</v>
      </c>
      <c r="F32" s="20" t="n">
        <v>0.764609257473503</v>
      </c>
      <c r="G32" s="20" t="n">
        <v>0.480495953309074</v>
      </c>
      <c r="H32" s="20" t="n">
        <v>0.369725330533568</v>
      </c>
      <c r="I32" s="20" t="n">
        <v>0.317980906401931</v>
      </c>
      <c r="J32" s="21" t="n">
        <v>4477.81736836258</v>
      </c>
      <c r="K32" s="28" t="n">
        <v>55.2368169057304</v>
      </c>
      <c r="L32" s="28" t="n">
        <v>123.894453697506</v>
      </c>
      <c r="M32" s="28" t="n">
        <v>60.11780167</v>
      </c>
      <c r="N32" s="28" t="n">
        <v>82.9</v>
      </c>
      <c r="O32" s="28" t="n">
        <v>10.6434131462934</v>
      </c>
      <c r="P32" s="23" t="n">
        <v>2.32058603495657</v>
      </c>
      <c r="Q32" s="28" t="n">
        <v>5.48026675911177</v>
      </c>
      <c r="R32" s="28" t="n">
        <v>2.97758321341949</v>
      </c>
      <c r="S32" s="28" t="n">
        <v>4.85668951488573</v>
      </c>
      <c r="T32" s="28" t="n">
        <v>8.7454474073397</v>
      </c>
      <c r="U32" s="28" t="n">
        <v>21.9648241063617</v>
      </c>
      <c r="V32" s="28" t="n">
        <v>10.7629331471984</v>
      </c>
      <c r="W32" s="21" t="n">
        <v>20</v>
      </c>
      <c r="X32" s="21" t="n">
        <v>100</v>
      </c>
      <c r="Y32" s="24" t="n">
        <v>0.314313244739898</v>
      </c>
      <c r="Z32" s="16" t="n">
        <f aca="false">IF(B32="KEN",1,0)</f>
        <v>0</v>
      </c>
      <c r="AA32" s="16" t="n">
        <f aca="false">IF(D32&gt;=Inputs!$D$10,1,0)</f>
        <v>1</v>
      </c>
      <c r="AB32" s="33" t="n">
        <f aca="false">IF(AND(Z32=0,AA32=1),1,0)</f>
        <v>1</v>
      </c>
    </row>
    <row r="33" customFormat="false" ht="15" hidden="false" customHeight="false" outlineLevel="0" collapsed="false">
      <c r="A33" s="5" t="s">
        <v>273</v>
      </c>
      <c r="B33" s="5" t="s">
        <v>274</v>
      </c>
      <c r="C33" s="5" t="s">
        <v>224</v>
      </c>
      <c r="D33" s="21" t="n">
        <v>5200533</v>
      </c>
      <c r="E33" s="20" t="n">
        <v>0.321957258314931</v>
      </c>
      <c r="F33" s="20" t="n">
        <v>0.386205210606339</v>
      </c>
      <c r="G33" s="20" t="n">
        <v>0.150133411940838</v>
      </c>
      <c r="H33" s="20" t="n">
        <v>0.0522927130109357</v>
      </c>
      <c r="I33" s="20" t="n">
        <v>0.110186137117415</v>
      </c>
      <c r="J33" s="21" t="n">
        <v>3098.76290446676</v>
      </c>
      <c r="K33" s="28" t="n">
        <v>45.3626823156371</v>
      </c>
      <c r="L33" s="28" t="n">
        <v>107.882000873042</v>
      </c>
      <c r="M33" s="28" t="n">
        <v>25.10499954</v>
      </c>
      <c r="N33" s="28" t="n">
        <v>39.2</v>
      </c>
      <c r="O33" s="28" t="n">
        <v>4.60220597454006</v>
      </c>
      <c r="P33" s="23" t="n">
        <v>2.1226891332086</v>
      </c>
      <c r="Q33" s="28" t="n">
        <v>34.4949705693982</v>
      </c>
      <c r="R33" s="28" t="n">
        <v>35.6673195018926</v>
      </c>
      <c r="S33" s="28" t="n">
        <v>5.1055999521394</v>
      </c>
      <c r="T33" s="28" t="n">
        <v>2.6766050858062</v>
      </c>
      <c r="U33" s="28" t="n">
        <v>15.9881803684116</v>
      </c>
      <c r="V33" s="28" t="n">
        <v>17.1393492622269</v>
      </c>
      <c r="W33" s="21" t="n">
        <v>20</v>
      </c>
      <c r="X33" s="21" t="n">
        <v>100</v>
      </c>
      <c r="Y33" s="24" t="n">
        <v>0.222238738718883</v>
      </c>
      <c r="Z33" s="16" t="n">
        <f aca="false">IF(B33="KEN",1,0)</f>
        <v>0</v>
      </c>
      <c r="AA33" s="16" t="n">
        <f aca="false">IF(D33&gt;=Inputs!$D$10,1,0)</f>
        <v>1</v>
      </c>
      <c r="AB33" s="33" t="n">
        <f aca="false">IF(AND(Z33=0,AA33=1),1,0)</f>
        <v>1</v>
      </c>
    </row>
    <row r="34" customFormat="false" ht="15" hidden="false" customHeight="false" outlineLevel="0" collapsed="false">
      <c r="A34" s="5" t="s">
        <v>275</v>
      </c>
      <c r="B34" s="5" t="s">
        <v>276</v>
      </c>
      <c r="C34" s="5" t="s">
        <v>221</v>
      </c>
      <c r="D34" s="21" t="n">
        <v>46723498</v>
      </c>
      <c r="E34" s="20" t="n">
        <v>0.31623201671299</v>
      </c>
      <c r="F34" s="20" t="n">
        <v>0.811259662052011</v>
      </c>
      <c r="G34" s="20" t="n">
        <v>0.784330264359328</v>
      </c>
      <c r="H34" s="20" t="n">
        <v>0.469248370834271</v>
      </c>
      <c r="I34" s="20" t="n">
        <v>0.190168459424566</v>
      </c>
      <c r="J34" s="21" t="n">
        <v>13597.6538495998</v>
      </c>
      <c r="K34" s="28" t="n">
        <v>63.6917984858172</v>
      </c>
      <c r="L34" s="28" t="n">
        <v>179.336329840585</v>
      </c>
      <c r="M34" s="28" t="n">
        <v>78.35759735</v>
      </c>
      <c r="N34" s="28" t="n">
        <v>90.2</v>
      </c>
      <c r="O34" s="28" t="n">
        <v>0.213233288359423</v>
      </c>
      <c r="P34" s="23" t="n">
        <v>1.24951426055192</v>
      </c>
      <c r="Q34" s="28" t="n">
        <v>5.82542301215034</v>
      </c>
      <c r="R34" s="28" t="n">
        <v>7.17601135124597</v>
      </c>
      <c r="S34" s="28" t="n">
        <v>1.1330282332617</v>
      </c>
      <c r="T34" s="28" t="n">
        <v>15.9141670542823</v>
      </c>
      <c r="U34" s="28" t="n">
        <v>14.5390165494923</v>
      </c>
      <c r="V34" s="28" t="n">
        <v>9.4264589722157</v>
      </c>
      <c r="W34" s="21" t="n">
        <v>20</v>
      </c>
      <c r="X34" s="21" t="n">
        <v>100</v>
      </c>
      <c r="Y34" s="24" t="n">
        <v>0.117951057487756</v>
      </c>
      <c r="Z34" s="16" t="n">
        <f aca="false">IF(B34="KEN",1,0)</f>
        <v>0</v>
      </c>
      <c r="AA34" s="16" t="n">
        <f aca="false">IF(D34&gt;=Inputs!$D$10,1,0)</f>
        <v>1</v>
      </c>
      <c r="AB34" s="33" t="n">
        <f aca="false">IF(AND(Z34=0,AA34=1),1,0)</f>
        <v>1</v>
      </c>
    </row>
    <row r="35" customFormat="false" ht="15" hidden="false" customHeight="false" outlineLevel="0" collapsed="false">
      <c r="A35" s="5" t="s">
        <v>277</v>
      </c>
      <c r="B35" s="5" t="s">
        <v>278</v>
      </c>
      <c r="C35" s="5" t="s">
        <v>218</v>
      </c>
      <c r="D35" s="21" t="n">
        <v>38155970</v>
      </c>
      <c r="E35" s="20" t="n">
        <v>0.528539837276394</v>
      </c>
      <c r="F35" s="20" t="n">
        <v>0.598275253090773</v>
      </c>
      <c r="G35" s="20" t="n">
        <v>0.21944173366806</v>
      </c>
      <c r="H35" s="20" t="n">
        <v>0.0385774579050142</v>
      </c>
      <c r="I35" s="20" t="n">
        <v>0.385380306886962</v>
      </c>
      <c r="J35" s="21" t="n">
        <v>3713.26293945313</v>
      </c>
      <c r="K35" s="28" t="n">
        <v>36.1684458862992</v>
      </c>
      <c r="L35" s="28" t="n">
        <v>126.559163217786</v>
      </c>
      <c r="M35" s="28" t="n">
        <v>31.16209984</v>
      </c>
      <c r="N35" s="28" t="n">
        <v>52.4</v>
      </c>
      <c r="O35" s="28" t="n">
        <v>1.41761823085648</v>
      </c>
      <c r="P35" s="23" t="n">
        <v>2.87426672866542</v>
      </c>
      <c r="Q35" s="28" t="n">
        <v>3.73548390655463</v>
      </c>
      <c r="R35" s="28" t="n">
        <v>4.09223373773244</v>
      </c>
      <c r="S35" s="28" t="n">
        <v>5.05394770897933</v>
      </c>
      <c r="T35" s="28" t="n">
        <v>6.3849677226902</v>
      </c>
      <c r="U35" s="28" t="n">
        <v>15.2328372809263</v>
      </c>
      <c r="V35" s="28" t="n">
        <v>20.663408748586</v>
      </c>
      <c r="W35" s="21" t="n">
        <v>100</v>
      </c>
      <c r="X35" s="21" t="n">
        <v>100</v>
      </c>
      <c r="Y35" s="24" t="n">
        <v>0.082005025604186</v>
      </c>
      <c r="Z35" s="16" t="n">
        <f aca="false">IF(B35="KEN",1,0)</f>
        <v>0</v>
      </c>
      <c r="AA35" s="16" t="n">
        <f aca="false">IF(D35&gt;=Inputs!$D$10,1,0)</f>
        <v>1</v>
      </c>
      <c r="AB35" s="33" t="n">
        <f aca="false">IF(AND(Z35=0,AA35=1),1,0)</f>
        <v>1</v>
      </c>
    </row>
    <row r="36" customFormat="false" ht="15" hidden="false" customHeight="false" outlineLevel="0" collapsed="false">
      <c r="A36" s="5" t="s">
        <v>279</v>
      </c>
      <c r="B36" s="5" t="s">
        <v>280</v>
      </c>
      <c r="C36" s="5" t="s">
        <v>224</v>
      </c>
      <c r="D36" s="21" t="n">
        <v>5593530</v>
      </c>
      <c r="E36" s="20" t="n">
        <v>0.479918378510191</v>
      </c>
      <c r="F36" s="20" t="n">
        <v>0.574329534151865</v>
      </c>
      <c r="G36" s="20" t="n">
        <v>0.324420270880364</v>
      </c>
      <c r="H36" s="20" t="n">
        <v>0.13771111205249</v>
      </c>
      <c r="I36" s="20" t="n">
        <v>0.214573757638597</v>
      </c>
      <c r="J36" s="21" t="n">
        <v>3351.24993111939</v>
      </c>
      <c r="K36" s="28" t="n">
        <v>43.8148491605996</v>
      </c>
      <c r="L36" s="28" t="n">
        <v>80.8035554767112</v>
      </c>
      <c r="M36" s="28" t="n">
        <v>39.48320007</v>
      </c>
      <c r="N36" s="28" t="n">
        <v>61.1</v>
      </c>
      <c r="P36" s="23" t="n">
        <v>2.197364628925</v>
      </c>
      <c r="Q36" s="28" t="n">
        <v>5.43982667949625</v>
      </c>
      <c r="R36" s="28" t="n">
        <v>2.97758321341949</v>
      </c>
      <c r="S36" s="28" t="n">
        <v>6.33952679398471</v>
      </c>
      <c r="T36" s="28" t="n">
        <v>26.2939771516062</v>
      </c>
      <c r="U36" s="28" t="n">
        <v>24.039603804059</v>
      </c>
      <c r="V36" s="28" t="n">
        <v>4.9774875698768</v>
      </c>
      <c r="W36" s="21" t="n">
        <v>20</v>
      </c>
      <c r="X36" s="21" t="n">
        <v>100</v>
      </c>
      <c r="Y36" s="24" t="n">
        <v>0.384843914153288</v>
      </c>
      <c r="Z36" s="16" t="n">
        <f aca="false">IF(B36="KEN",1,0)</f>
        <v>0</v>
      </c>
      <c r="AA36" s="16" t="n">
        <f aca="false">IF(D36&gt;=Inputs!$D$10,1,0)</f>
        <v>1</v>
      </c>
      <c r="AB36" s="33" t="n">
        <f aca="false">IF(AND(Z36=0,AA36=1),1,0)</f>
        <v>1</v>
      </c>
    </row>
    <row r="37" customFormat="false" ht="15" hidden="false" customHeight="false" outlineLevel="0" collapsed="false">
      <c r="A37" s="5" t="s">
        <v>281</v>
      </c>
      <c r="B37" s="5" t="s">
        <v>282</v>
      </c>
      <c r="C37" s="5" t="s">
        <v>224</v>
      </c>
      <c r="D37" s="21" t="n">
        <v>27277834</v>
      </c>
      <c r="E37" s="20" t="n">
        <v>0.677382954204934</v>
      </c>
      <c r="F37" s="20" t="n">
        <v>0.728273757556063</v>
      </c>
      <c r="G37" s="20" t="n">
        <v>0.261733236510639</v>
      </c>
      <c r="H37" s="20" t="n">
        <v>0.116710083766861</v>
      </c>
      <c r="I37" s="20" t="n">
        <v>0.505812428982308</v>
      </c>
      <c r="J37" s="21" t="n">
        <v>2879.67009290376</v>
      </c>
      <c r="K37" s="28" t="n">
        <v>31.2777698213557</v>
      </c>
      <c r="L37" s="28" t="n">
        <v>83.165031466902</v>
      </c>
      <c r="M37" s="28" t="n">
        <v>8.949831061</v>
      </c>
      <c r="N37" s="28" t="n">
        <v>55.3</v>
      </c>
      <c r="O37" s="28" t="n">
        <v>2.65140809528268</v>
      </c>
      <c r="P37" s="23" t="n">
        <v>2.75373170025335</v>
      </c>
      <c r="Q37" s="28" t="n">
        <v>5.29003907982674</v>
      </c>
      <c r="R37" s="28" t="n">
        <v>1.54533431681448</v>
      </c>
      <c r="S37" s="28" t="n">
        <v>5.32685854522944</v>
      </c>
      <c r="T37" s="28" t="n">
        <v>12.9034423725263</v>
      </c>
      <c r="U37" s="28" t="n">
        <v>12.6072079253988</v>
      </c>
      <c r="V37" s="28" t="n">
        <v>16.1292609937802</v>
      </c>
      <c r="W37" s="21" t="n">
        <v>100</v>
      </c>
      <c r="X37" s="21" t="n">
        <v>100</v>
      </c>
      <c r="Y37" s="24" t="n">
        <v>0.12137562536016</v>
      </c>
      <c r="Z37" s="16" t="n">
        <f aca="false">IF(B37="KEN",1,0)</f>
        <v>0</v>
      </c>
      <c r="AA37" s="16" t="n">
        <f aca="false">IF(D37&gt;=Inputs!$D$10,1,0)</f>
        <v>1</v>
      </c>
      <c r="AB37" s="33" t="n">
        <f aca="false">IF(AND(Z37=0,AA37=1),1,0)</f>
        <v>1</v>
      </c>
    </row>
    <row r="38" customFormat="false" ht="15" hidden="false" customHeight="false" outlineLevel="0" collapsed="false">
      <c r="A38" s="5" t="s">
        <v>283</v>
      </c>
      <c r="B38" s="5" t="s">
        <v>284</v>
      </c>
      <c r="C38" s="5" t="s">
        <v>224</v>
      </c>
      <c r="D38" s="21" t="n">
        <v>12029200</v>
      </c>
      <c r="E38" s="20" t="n">
        <v>0.693107512524696</v>
      </c>
      <c r="F38" s="20" t="n">
        <v>0.727024245599811</v>
      </c>
      <c r="G38" s="20" t="n">
        <v>0.24072373432087</v>
      </c>
      <c r="H38" s="20" t="n">
        <v>0.191966389039812</v>
      </c>
      <c r="I38" s="20" t="n">
        <v>0.278423917755053</v>
      </c>
      <c r="J38" s="21" t="n">
        <v>3708.06904295647</v>
      </c>
      <c r="K38" s="28" t="n">
        <v>45.4703838491279</v>
      </c>
      <c r="L38" s="28" t="n">
        <v>108.704779873813</v>
      </c>
      <c r="M38" s="28" t="n">
        <v>17.10099983</v>
      </c>
      <c r="N38" s="28" t="n">
        <v>53.6</v>
      </c>
      <c r="O38" s="28" t="n">
        <v>1.32123122514255</v>
      </c>
      <c r="P38" s="23" t="n">
        <v>2.81182258530958</v>
      </c>
      <c r="Q38" s="28" t="n">
        <v>12.2877872956631</v>
      </c>
      <c r="R38" s="28" t="n">
        <v>8.92735546916958</v>
      </c>
      <c r="S38" s="28" t="n">
        <v>4.79973823789299</v>
      </c>
      <c r="T38" s="28" t="n">
        <v>7.5237869264027</v>
      </c>
      <c r="U38" s="28" t="n">
        <v>25.3330094192879</v>
      </c>
      <c r="V38" s="28" t="n">
        <v>5.75979677748389</v>
      </c>
      <c r="W38" s="21" t="n">
        <v>60</v>
      </c>
      <c r="X38" s="21" t="n">
        <v>100</v>
      </c>
      <c r="Y38" s="24" t="n">
        <v>0.262248571870919</v>
      </c>
      <c r="Z38" s="16" t="n">
        <f aca="false">IF(B38="KEN",1,0)</f>
        <v>0</v>
      </c>
      <c r="AA38" s="16" t="n">
        <f aca="false">IF(D38&gt;=Inputs!$D$10,1,0)</f>
        <v>1</v>
      </c>
      <c r="AB38" s="33" t="n">
        <f aca="false">IF(AND(Z38=0,AA38=1),1,0)</f>
        <v>1</v>
      </c>
    </row>
    <row r="39" customFormat="false" ht="15" hidden="false" customHeight="false" outlineLevel="0" collapsed="false">
      <c r="A39" s="5" t="s">
        <v>285</v>
      </c>
      <c r="B39" s="5" t="s">
        <v>286</v>
      </c>
      <c r="C39" s="5" t="s">
        <v>218</v>
      </c>
      <c r="D39" s="21" t="n">
        <v>9588258</v>
      </c>
      <c r="E39" s="20" t="n">
        <v>0.433317368740992</v>
      </c>
      <c r="F39" s="20" t="n">
        <v>0.495216018025126</v>
      </c>
      <c r="G39" s="20" t="n">
        <v>0.215661530622998</v>
      </c>
      <c r="H39" s="20" t="n">
        <v>0.290984851650191</v>
      </c>
      <c r="I39" s="20" t="n">
        <v>0.485816321801818</v>
      </c>
      <c r="J39" s="21" t="n">
        <v>5211.89755587954</v>
      </c>
      <c r="K39" s="28" t="n">
        <v>39.8933716820696</v>
      </c>
      <c r="L39" s="28" t="n">
        <v>94.2451753366358</v>
      </c>
      <c r="M39" s="28" t="n">
        <v>41.64279938</v>
      </c>
      <c r="N39" s="28" t="n">
        <v>62</v>
      </c>
      <c r="O39" s="28" t="n">
        <v>8.45310225048767</v>
      </c>
      <c r="P39" s="23" t="n">
        <v>1.7804822981922</v>
      </c>
      <c r="Q39" s="28" t="n">
        <v>104.705170628667</v>
      </c>
      <c r="R39" s="28" t="n">
        <v>120.260929802966</v>
      </c>
      <c r="S39" s="28" t="n">
        <v>4.38887553863352</v>
      </c>
      <c r="T39" s="28" t="n">
        <v>7.1863430787713</v>
      </c>
      <c r="U39" s="28" t="n">
        <v>15.2140518036679</v>
      </c>
      <c r="V39" s="28" t="n">
        <v>14.8910153745141</v>
      </c>
      <c r="W39" s="21" t="n">
        <v>20</v>
      </c>
      <c r="X39" s="21" t="n">
        <v>40</v>
      </c>
      <c r="Y39" s="24" t="n">
        <v>0.0908522205082952</v>
      </c>
      <c r="Z39" s="16" t="n">
        <f aca="false">IF(B39="KEN",1,0)</f>
        <v>0</v>
      </c>
      <c r="AA39" s="16" t="n">
        <f aca="false">IF(D39&gt;=Inputs!$D$10,1,0)</f>
        <v>1</v>
      </c>
      <c r="AB39" s="33" t="n">
        <f aca="false">IF(AND(Z39=0,AA39=1),1,0)</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1F5E"/>
    <pageSetUpPr fitToPage="false"/>
  </sheetPr>
  <dimension ref="A1:Q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7"/>
    <col collapsed="false" customWidth="true" hidden="false" outlineLevel="0" max="3" min="3" style="0" width="10"/>
    <col collapsed="false" customWidth="true" hidden="false" outlineLevel="0" max="17" min="4" style="0" width="14"/>
  </cols>
  <sheetData>
    <row r="1" customFormat="false" ht="17.35" hidden="false" customHeight="false" outlineLevel="0" collapsed="false">
      <c r="A1" s="1" t="s">
        <v>287</v>
      </c>
    </row>
    <row r="2" customFormat="false" ht="15" hidden="false" customHeight="false" outlineLevel="0" collapsed="false">
      <c r="A2" s="2" t="s">
        <v>288</v>
      </c>
    </row>
    <row r="5" customFormat="false" ht="55.5" hidden="false" customHeight="true" outlineLevel="0" collapsed="false">
      <c r="A5" s="9" t="s">
        <v>189</v>
      </c>
      <c r="B5" s="9" t="s">
        <v>37</v>
      </c>
      <c r="C5" s="9" t="s">
        <v>215</v>
      </c>
      <c r="D5" s="9" t="s">
        <v>289</v>
      </c>
      <c r="E5" s="9" t="s">
        <v>290</v>
      </c>
      <c r="F5" s="9" t="s">
        <v>291</v>
      </c>
      <c r="G5" s="9" t="s">
        <v>292</v>
      </c>
      <c r="H5" s="9" t="s">
        <v>293</v>
      </c>
      <c r="I5" s="9" t="s">
        <v>294</v>
      </c>
      <c r="J5" s="9" t="s">
        <v>43</v>
      </c>
      <c r="K5" s="9" t="s">
        <v>295</v>
      </c>
      <c r="L5" s="9" t="s">
        <v>296</v>
      </c>
      <c r="M5" s="9" t="s">
        <v>297</v>
      </c>
      <c r="N5" s="9" t="s">
        <v>298</v>
      </c>
      <c r="O5" s="9" t="s">
        <v>299</v>
      </c>
      <c r="P5" s="9" t="s">
        <v>300</v>
      </c>
      <c r="Q5" s="9" t="s">
        <v>301</v>
      </c>
    </row>
    <row r="6" customFormat="false" ht="15" hidden="false" customHeight="false" outlineLevel="0" collapsed="false">
      <c r="A6" s="34" t="str">
        <f aca="false">Data!A6</f>
        <v>Benin</v>
      </c>
      <c r="B6" s="34" t="str">
        <f aca="false">Data!B6</f>
        <v>BEN</v>
      </c>
      <c r="C6" s="35" t="n">
        <f aca="false">Data!AB6</f>
        <v>1</v>
      </c>
      <c r="D6" s="36" t="n">
        <f aca="false">Data!E6</f>
        <v>0.448728519417161</v>
      </c>
      <c r="E6" s="32" t="n">
        <f aca="false">LN(MIN(0.995,MAX(0.005,D6))/(1-MIN(0.995,MAX(0.005,D6))))</f>
        <v>-0.20580932198283</v>
      </c>
      <c r="F6" s="37" t="n">
        <f aca="false">MIN(Inputs!$D$14,MAX(Inputs!$D$13,(1-Inputs!$D$12)*Inputs!$D$11+Inputs!$D$12*IF(Data!Y6="",Inputs!$D$11,Data!Y6)))</f>
        <v>0.17872706143761</v>
      </c>
      <c r="G6" s="14" t="n">
        <f aca="false">Data!D6*(1+Data!P6/100)^Inputs!$D$8</f>
        <v>9496898.79766609</v>
      </c>
      <c r="H6" s="14" t="n">
        <f aca="false">G6*D6</f>
        <v>4261529.33653132</v>
      </c>
      <c r="I6" s="13" t="n">
        <f aca="false">MIN(1/(1+EXP(-(E6+F6*Inputs!$C$16*Inputs!$D$8))),MAX(Inputs!$D$9,D6))</f>
        <v>0.581849853923165</v>
      </c>
      <c r="J6" s="13" t="n">
        <f aca="false">MIN(1/(1+EXP(-(E6+F6*Inputs!$D$16*Inputs!$D$8))),MAX(Inputs!$D$9,D6))</f>
        <v>0.704027952866859</v>
      </c>
      <c r="K6" s="13" t="n">
        <f aca="false">MIN(1/(1+EXP(-(E6+F6*Inputs!$E$16*Inputs!$D$8))),MAX(Inputs!$D$9,D6))</f>
        <v>0.802617411253398</v>
      </c>
      <c r="L6" s="14" t="n">
        <f aca="false">G6*I6</f>
        <v>5525769.1781451</v>
      </c>
      <c r="M6" s="14" t="n">
        <f aca="false">G6*J6</f>
        <v>6686082.2191046</v>
      </c>
      <c r="N6" s="14" t="n">
        <f aca="false">G6*K6</f>
        <v>7622376.32791826</v>
      </c>
      <c r="O6" s="14" t="n">
        <f aca="false">MAX(0,L6-H6)</f>
        <v>1264239.84161377</v>
      </c>
      <c r="P6" s="14" t="n">
        <f aca="false">MAX(0,M6-H6)</f>
        <v>2424552.88257327</v>
      </c>
      <c r="Q6" s="14" t="n">
        <f aca="false">MAX(0,N6-H6)</f>
        <v>3360846.99138694</v>
      </c>
    </row>
    <row r="7" customFormat="false" ht="15" hidden="false" customHeight="false" outlineLevel="0" collapsed="false">
      <c r="A7" s="34" t="str">
        <f aca="false">Data!A7</f>
        <v>Botswana</v>
      </c>
      <c r="B7" s="34" t="str">
        <f aca="false">Data!B7</f>
        <v>BWA</v>
      </c>
      <c r="C7" s="35" t="n">
        <f aca="false">Data!AB7</f>
        <v>0</v>
      </c>
      <c r="D7" s="36" t="n">
        <f aca="false">Data!E7</f>
        <v>0.51617815726863</v>
      </c>
      <c r="E7" s="32" t="n">
        <f aca="false">LN(MIN(0.995,MAX(0.005,D7))/(1-MIN(0.995,MAX(0.005,D7))))</f>
        <v>0.0647352264920901</v>
      </c>
      <c r="F7" s="37" t="n">
        <f aca="false">MIN(Inputs!$D$14,MAX(Inputs!$D$13,(1-Inputs!$D$12)*Inputs!$D$11+Inputs!$D$12*IF(Data!Y7="",Inputs!$D$11,Data!Y7)))</f>
        <v>0.17872706143761</v>
      </c>
      <c r="G7" s="14" t="n">
        <f aca="false">Data!D7*(1+Data!P7/100)^Inputs!$D$8</f>
        <v>1851283.27349892</v>
      </c>
      <c r="H7" s="14" t="n">
        <f aca="false">G7*D7</f>
        <v>955591.988696908</v>
      </c>
      <c r="I7" s="13" t="n">
        <f aca="false">MIN(1/(1+EXP(-(E7+F7*Inputs!$C$16*Inputs!$D$8))),MAX(Inputs!$D$9,D7))</f>
        <v>0.645865938579135</v>
      </c>
      <c r="J7" s="13" t="n">
        <f aca="false">MIN(1/(1+EXP(-(E7+F7*Inputs!$D$16*Inputs!$D$8))),MAX(Inputs!$D$9,D7))</f>
        <v>0.757146355510493</v>
      </c>
      <c r="K7" s="13" t="n">
        <f aca="false">MIN(1/(1+EXP(-(E7+F7*Inputs!$E$16*Inputs!$D$8))),MAX(Inputs!$D$9,D7))</f>
        <v>0.842012478139064</v>
      </c>
      <c r="L7" s="14" t="n">
        <f aca="false">G7*I7</f>
        <v>1195680.80901423</v>
      </c>
      <c r="M7" s="14" t="n">
        <f aca="false">G7*J7</f>
        <v>1401692.38354724</v>
      </c>
      <c r="N7" s="14" t="n">
        <f aca="false">G7*K7</f>
        <v>1558803.61685622</v>
      </c>
      <c r="O7" s="14" t="n">
        <f aca="false">MAX(0,L7-H7)</f>
        <v>240088.820317324</v>
      </c>
      <c r="P7" s="14" t="n">
        <f aca="false">MAX(0,M7-H7)</f>
        <v>446100.394850332</v>
      </c>
      <c r="Q7" s="14" t="n">
        <f aca="false">MAX(0,N7-H7)</f>
        <v>603211.628159314</v>
      </c>
    </row>
    <row r="8" customFormat="false" ht="15" hidden="false" customHeight="false" outlineLevel="0" collapsed="false">
      <c r="A8" s="34" t="str">
        <f aca="false">Data!A8</f>
        <v>Burkina Faso</v>
      </c>
      <c r="B8" s="34" t="str">
        <f aca="false">Data!B8</f>
        <v>BFA</v>
      </c>
      <c r="C8" s="35" t="n">
        <f aca="false">Data!AB8</f>
        <v>1</v>
      </c>
      <c r="D8" s="36" t="n">
        <f aca="false">Data!E8</f>
        <v>0.441573641486017</v>
      </c>
      <c r="E8" s="32" t="n">
        <f aca="false">LN(MIN(0.995,MAX(0.005,D8))/(1-MIN(0.995,MAX(0.005,D8))))</f>
        <v>-0.23477794945909</v>
      </c>
      <c r="F8" s="37" t="n">
        <f aca="false">MIN(Inputs!$D$14,MAX(Inputs!$D$13,(1-Inputs!$D$12)*Inputs!$D$11+Inputs!$D$12*IF(Data!Y8="",Inputs!$D$11,Data!Y8)))</f>
        <v>0.17872706143761</v>
      </c>
      <c r="G8" s="14" t="n">
        <f aca="false">Data!D8*(1+Data!P8/100)^Inputs!$D$8</f>
        <v>15153213.5527872</v>
      </c>
      <c r="H8" s="14" t="n">
        <f aca="false">G8*D8</f>
        <v>6691259.68871949</v>
      </c>
      <c r="I8" s="13" t="n">
        <f aca="false">MIN(1/(1+EXP(-(E8+F8*Inputs!$C$16*Inputs!$D$8))),MAX(Inputs!$D$9,D8))</f>
        <v>0.574785513349095</v>
      </c>
      <c r="J8" s="13" t="n">
        <f aca="false">MIN(1/(1+EXP(-(E8+F8*Inputs!$D$16*Inputs!$D$8))),MAX(Inputs!$D$9,D8))</f>
        <v>0.69795622299143</v>
      </c>
      <c r="K8" s="13" t="n">
        <f aca="false">MIN(1/(1+EXP(-(E8+F8*Inputs!$E$16*Inputs!$D$8))),MAX(Inputs!$D$9,D8))</f>
        <v>0.797987862221884</v>
      </c>
      <c r="L8" s="14" t="n">
        <f aca="false">G8*I8</f>
        <v>8709847.63082723</v>
      </c>
      <c r="M8" s="14" t="n">
        <f aca="false">G8*J8</f>
        <v>10576279.6974859</v>
      </c>
      <c r="N8" s="14" t="n">
        <f aca="false">G8*K8</f>
        <v>12092080.4887803</v>
      </c>
      <c r="O8" s="14" t="n">
        <f aca="false">MAX(0,L8-H8)</f>
        <v>2018587.94210774</v>
      </c>
      <c r="P8" s="14" t="n">
        <f aca="false">MAX(0,M8-H8)</f>
        <v>3885020.00876638</v>
      </c>
      <c r="Q8" s="14" t="n">
        <f aca="false">MAX(0,N8-H8)</f>
        <v>5400820.80006081</v>
      </c>
    </row>
    <row r="9" customFormat="false" ht="15" hidden="false" customHeight="false" outlineLevel="0" collapsed="false">
      <c r="A9" s="34" t="str">
        <f aca="false">Data!A9</f>
        <v>Cameroon</v>
      </c>
      <c r="B9" s="34" t="str">
        <f aca="false">Data!B9</f>
        <v>CMR</v>
      </c>
      <c r="C9" s="35" t="n">
        <f aca="false">Data!AB9</f>
        <v>1</v>
      </c>
      <c r="D9" s="36" t="n">
        <f aca="false">Data!E9</f>
        <v>0.550654518411428</v>
      </c>
      <c r="E9" s="32" t="n">
        <f aca="false">LN(MIN(0.995,MAX(0.005,D9))/(1-MIN(0.995,MAX(0.005,D9))))</f>
        <v>0.203315565558251</v>
      </c>
      <c r="F9" s="37" t="n">
        <f aca="false">MIN(Inputs!$D$14,MAX(Inputs!$D$13,(1-Inputs!$D$12)*Inputs!$D$11+Inputs!$D$12*IF(Data!Y9="",Inputs!$D$11,Data!Y9)))</f>
        <v>0.17872706143761</v>
      </c>
      <c r="G9" s="14" t="n">
        <f aca="false">Data!D9*(1+Data!P9/100)^Inputs!$D$8</f>
        <v>19289633.0993708</v>
      </c>
      <c r="H9" s="14" t="n">
        <f aca="false">G9*D9</f>
        <v>10621923.6246672</v>
      </c>
      <c r="I9" s="13" t="n">
        <f aca="false">MIN(1/(1+EXP(-(E9+F9*Inputs!$C$16*Inputs!$D$8))),MAX(Inputs!$D$9,D9))</f>
        <v>0.676885799490595</v>
      </c>
      <c r="J9" s="13" t="n">
        <f aca="false">MIN(1/(1+EXP(-(E9+F9*Inputs!$D$16*Inputs!$D$8))),MAX(Inputs!$D$9,D9))</f>
        <v>0.781713167119392</v>
      </c>
      <c r="K9" s="13" t="n">
        <f aca="false">MIN(1/(1+EXP(-(E9+F9*Inputs!$E$16*Inputs!$D$8))),MAX(Inputs!$D$9,D9))</f>
        <v>0.859586415468985</v>
      </c>
      <c r="L9" s="14" t="n">
        <f aca="false">G9*I9</f>
        <v>13056878.7223479</v>
      </c>
      <c r="M9" s="14" t="n">
        <f aca="false">G9*J9</f>
        <v>15078960.1826802</v>
      </c>
      <c r="N9" s="14" t="n">
        <f aca="false">G9*K9</f>
        <v>16581106.5716001</v>
      </c>
      <c r="O9" s="14" t="n">
        <f aca="false">MAX(0,L9-H9)</f>
        <v>2434955.09768068</v>
      </c>
      <c r="P9" s="14" t="n">
        <f aca="false">MAX(0,M9-H9)</f>
        <v>4457036.55801304</v>
      </c>
      <c r="Q9" s="14" t="n">
        <f aca="false">MAX(0,N9-H9)</f>
        <v>5959182.94693288</v>
      </c>
    </row>
    <row r="10" customFormat="false" ht="15" hidden="false" customHeight="false" outlineLevel="0" collapsed="false">
      <c r="A10" s="34" t="str">
        <f aca="false">Data!A10</f>
        <v>Chad</v>
      </c>
      <c r="B10" s="34" t="str">
        <f aca="false">Data!B10</f>
        <v>TCD</v>
      </c>
      <c r="C10" s="35" t="n">
        <f aca="false">Data!AB10</f>
        <v>1</v>
      </c>
      <c r="D10" s="36" t="n">
        <f aca="false">Data!E10</f>
        <v>0.133358944308869</v>
      </c>
      <c r="E10" s="32" t="n">
        <f aca="false">LN(MIN(0.995,MAX(0.005,D10))/(1-MIN(0.995,MAX(0.005,D10))))</f>
        <v>-1.87158056146826</v>
      </c>
      <c r="F10" s="37" t="n">
        <f aca="false">MIN(Inputs!$D$14,MAX(Inputs!$D$13,(1-Inputs!$D$12)*Inputs!$D$11+Inputs!$D$12*IF(Data!Y10="",Inputs!$D$11,Data!Y10)))</f>
        <v>0.17872706143761</v>
      </c>
      <c r="G10" s="14" t="n">
        <f aca="false">Data!D10*(1+Data!P10/100)^Inputs!$D$8</f>
        <v>13748916.5506136</v>
      </c>
      <c r="H10" s="14" t="n">
        <f aca="false">G10*D10</f>
        <v>1833540.99658056</v>
      </c>
      <c r="I10" s="13" t="n">
        <f aca="false">MIN(1/(1+EXP(-(E10+F10*Inputs!$C$16*Inputs!$D$8))),MAX(Inputs!$D$9,D10))</f>
        <v>0.208267647405827</v>
      </c>
      <c r="J10" s="13" t="n">
        <f aca="false">MIN(1/(1+EXP(-(E10+F10*Inputs!$D$16*Inputs!$D$8))),MAX(Inputs!$D$9,D10))</f>
        <v>0.310192779837814</v>
      </c>
      <c r="K10" s="13" t="n">
        <f aca="false">MIN(1/(1+EXP(-(E10+F10*Inputs!$E$16*Inputs!$D$8))),MAX(Inputs!$D$9,D10))</f>
        <v>0.434617291327341</v>
      </c>
      <c r="L10" s="14" t="n">
        <f aca="false">G10*I10</f>
        <v>2863454.50437532</v>
      </c>
      <c r="M10" s="14" t="n">
        <f aca="false">G10*J10</f>
        <v>4264814.64459295</v>
      </c>
      <c r="N10" s="14" t="n">
        <f aca="false">G10*K10</f>
        <v>5975516.86991332</v>
      </c>
      <c r="O10" s="14" t="n">
        <f aca="false">MAX(0,L10-H10)</f>
        <v>1029913.50779476</v>
      </c>
      <c r="P10" s="14" t="n">
        <f aca="false">MAX(0,M10-H10)</f>
        <v>2431273.64801238</v>
      </c>
      <c r="Q10" s="14" t="n">
        <f aca="false">MAX(0,N10-H10)</f>
        <v>4141975.87333276</v>
      </c>
    </row>
    <row r="11" customFormat="false" ht="15" hidden="false" customHeight="false" outlineLevel="0" collapsed="false">
      <c r="A11" s="34" t="str">
        <f aca="false">Data!A11</f>
        <v>Comoros</v>
      </c>
      <c r="B11" s="34" t="str">
        <f aca="false">Data!B11</f>
        <v>COM</v>
      </c>
      <c r="C11" s="35" t="n">
        <f aca="false">Data!AB11</f>
        <v>0</v>
      </c>
      <c r="D11" s="36" t="n">
        <f aca="false">Data!E11</f>
        <v>0.14093786340933</v>
      </c>
      <c r="E11" s="32" t="n">
        <f aca="false">LN(MIN(0.995,MAX(0.005,D11))/(1-MIN(0.995,MAX(0.005,D11))))</f>
        <v>-1.80752214712157</v>
      </c>
      <c r="F11" s="37" t="n">
        <f aca="false">MIN(Inputs!$D$14,MAX(Inputs!$D$13,(1-Inputs!$D$12)*Inputs!$D$11+Inputs!$D$12*IF(Data!Y11="",Inputs!$D$11,Data!Y11)))</f>
        <v>0.17872706143761</v>
      </c>
      <c r="G11" s="14" t="n">
        <f aca="false">Data!D11*(1+Data!P11/100)^Inputs!$D$8</f>
        <v>595686.664909245</v>
      </c>
      <c r="H11" s="14" t="n">
        <f aca="false">G11*D11</f>
        <v>83954.8058137385</v>
      </c>
      <c r="I11" s="13" t="n">
        <f aca="false">MIN(1/(1+EXP(-(E11+F11*Inputs!$C$16*Inputs!$D$8))),MAX(Inputs!$D$9,D11))</f>
        <v>0.219027787787966</v>
      </c>
      <c r="J11" s="13" t="n">
        <f aca="false">MIN(1/(1+EXP(-(E11+F11*Inputs!$D$16*Inputs!$D$8))),MAX(Inputs!$D$9,D11))</f>
        <v>0.324063472395796</v>
      </c>
      <c r="K11" s="13" t="n">
        <f aca="false">MIN(1/(1+EXP(-(E11+F11*Inputs!$E$16*Inputs!$D$8))),MAX(Inputs!$D$9,D11))</f>
        <v>0.45041883040181</v>
      </c>
      <c r="L11" s="14" t="n">
        <f aca="false">G11*I11</f>
        <v>130471.932429863</v>
      </c>
      <c r="M11" s="14" t="n">
        <f aca="false">G11*J11</f>
        <v>193040.289090361</v>
      </c>
      <c r="N11" s="14" t="n">
        <f aca="false">G11*K11</f>
        <v>268308.490894377</v>
      </c>
      <c r="O11" s="14" t="n">
        <f aca="false">MAX(0,L11-H11)</f>
        <v>46517.1266161249</v>
      </c>
      <c r="P11" s="14" t="n">
        <f aca="false">MAX(0,M11-H11)</f>
        <v>109085.483276622</v>
      </c>
      <c r="Q11" s="14" t="n">
        <f aca="false">MAX(0,N11-H11)</f>
        <v>184353.685080638</v>
      </c>
    </row>
    <row r="12" customFormat="false" ht="15" hidden="false" customHeight="false" outlineLevel="0" collapsed="false">
      <c r="A12" s="34" t="str">
        <f aca="false">Data!A12</f>
        <v>Congo, Dem. Rep.</v>
      </c>
      <c r="B12" s="34" t="str">
        <f aca="false">Data!B12</f>
        <v>COD</v>
      </c>
      <c r="C12" s="35" t="n">
        <f aca="false">Data!AB12</f>
        <v>1</v>
      </c>
      <c r="D12" s="36" t="n">
        <f aca="false">Data!E12</f>
        <v>0.351182388076236</v>
      </c>
      <c r="E12" s="32" t="n">
        <f aca="false">LN(MIN(0.995,MAX(0.005,D12))/(1-MIN(0.995,MAX(0.005,D12))))</f>
        <v>-0.613845935157847</v>
      </c>
      <c r="F12" s="37" t="n">
        <f aca="false">MIN(Inputs!$D$14,MAX(Inputs!$D$13,(1-Inputs!$D$12)*Inputs!$D$11+Inputs!$D$12*IF(Data!Y12="",Inputs!$D$11,Data!Y12)))</f>
        <v>0.17872706143761</v>
      </c>
      <c r="G12" s="14" t="n">
        <f aca="false">Data!D12*(1+Data!P12/100)^Inputs!$D$8</f>
        <v>69068438.0468259</v>
      </c>
      <c r="H12" s="14" t="n">
        <f aca="false">G12*D12</f>
        <v>24255619.0139799</v>
      </c>
      <c r="I12" s="13" t="n">
        <f aca="false">MIN(1/(1+EXP(-(E12+F12*Inputs!$C$16*Inputs!$D$8))),MAX(Inputs!$D$9,D12))</f>
        <v>0.480593565974181</v>
      </c>
      <c r="J12" s="13" t="n">
        <f aca="false">MIN(1/(1+EXP(-(E12+F12*Inputs!$D$16*Inputs!$D$8))),MAX(Inputs!$D$9,D12))</f>
        <v>0.61266217396715</v>
      </c>
      <c r="K12" s="13" t="n">
        <f aca="false">MIN(1/(1+EXP(-(E12+F12*Inputs!$E$16*Inputs!$D$8))),MAX(Inputs!$D$9,D12))</f>
        <v>0.730014790648379</v>
      </c>
      <c r="L12" s="14" t="n">
        <f aca="false">G12*I12</f>
        <v>33193846.9371909</v>
      </c>
      <c r="M12" s="14" t="n">
        <f aca="false">G12*J12</f>
        <v>42315619.4062838</v>
      </c>
      <c r="N12" s="14" t="n">
        <f aca="false">G12*K12</f>
        <v>50420981.3411641</v>
      </c>
      <c r="O12" s="14" t="n">
        <f aca="false">MAX(0,L12-H12)</f>
        <v>8938227.92321101</v>
      </c>
      <c r="P12" s="14" t="n">
        <f aca="false">MAX(0,M12-H12)</f>
        <v>18060000.3923039</v>
      </c>
      <c r="Q12" s="14" t="n">
        <f aca="false">MAX(0,N12-H12)</f>
        <v>26165362.3271842</v>
      </c>
    </row>
    <row r="13" customFormat="false" ht="15" hidden="false" customHeight="false" outlineLevel="0" collapsed="false">
      <c r="A13" s="34" t="str">
        <f aca="false">Data!A13</f>
        <v>Congo, Rep.</v>
      </c>
      <c r="B13" s="34" t="str">
        <f aca="false">Data!B13</f>
        <v>COG</v>
      </c>
      <c r="C13" s="35" t="n">
        <f aca="false">Data!AB13</f>
        <v>1</v>
      </c>
      <c r="D13" s="36" t="n">
        <f aca="false">Data!E13</f>
        <v>0.515921177135768</v>
      </c>
      <c r="E13" s="32" t="n">
        <f aca="false">LN(MIN(0.995,MAX(0.005,D13))/(1-MIN(0.995,MAX(0.005,D13))))</f>
        <v>0.0637062457097791</v>
      </c>
      <c r="F13" s="37" t="n">
        <f aca="false">MIN(Inputs!$D$14,MAX(Inputs!$D$13,(1-Inputs!$D$12)*Inputs!$D$11+Inputs!$D$12*IF(Data!Y13="",Inputs!$D$11,Data!Y13)))</f>
        <v>0.17872706143761</v>
      </c>
      <c r="G13" s="14" t="n">
        <f aca="false">Data!D13*(1+Data!P13/100)^Inputs!$D$8</f>
        <v>4213613.3164695</v>
      </c>
      <c r="H13" s="14" t="n">
        <f aca="false">G13*D13</f>
        <v>2173892.34222789</v>
      </c>
      <c r="I13" s="13" t="n">
        <f aca="false">MIN(1/(1+EXP(-(E13+F13*Inputs!$C$16*Inputs!$D$8))),MAX(Inputs!$D$9,D13))</f>
        <v>0.64563055156676</v>
      </c>
      <c r="J13" s="13" t="n">
        <f aca="false">MIN(1/(1+EXP(-(E13+F13*Inputs!$D$16*Inputs!$D$8))),MAX(Inputs!$D$9,D13))</f>
        <v>0.756957100835674</v>
      </c>
      <c r="K13" s="13" t="n">
        <f aca="false">MIN(1/(1+EXP(-(E13+F13*Inputs!$E$16*Inputs!$D$8))),MAX(Inputs!$D$9,D13))</f>
        <v>0.84187554725705</v>
      </c>
      <c r="L13" s="14" t="n">
        <f aca="false">G13*I13</f>
        <v>2720437.48960125</v>
      </c>
      <c r="M13" s="14" t="n">
        <f aca="false">G13*J13</f>
        <v>3189524.52007735</v>
      </c>
      <c r="N13" s="14" t="n">
        <f aca="false">G13*K13</f>
        <v>3547338.01673236</v>
      </c>
      <c r="O13" s="14" t="n">
        <f aca="false">MAX(0,L13-H13)</f>
        <v>546545.147373356</v>
      </c>
      <c r="P13" s="14" t="n">
        <f aca="false">MAX(0,M13-H13)</f>
        <v>1015632.17784945</v>
      </c>
      <c r="Q13" s="14" t="n">
        <f aca="false">MAX(0,N13-H13)</f>
        <v>1373445.67450446</v>
      </c>
    </row>
    <row r="14" customFormat="false" ht="15" hidden="false" customHeight="false" outlineLevel="0" collapsed="false">
      <c r="A14" s="34" t="str">
        <f aca="false">Data!A14</f>
        <v>Cote d'Ivoire</v>
      </c>
      <c r="B14" s="34" t="str">
        <f aca="false">Data!B14</f>
        <v>CIV</v>
      </c>
      <c r="C14" s="35" t="n">
        <f aca="false">Data!AB14</f>
        <v>1</v>
      </c>
      <c r="D14" s="36" t="n">
        <f aca="false">Data!E14</f>
        <v>0.533817787682129</v>
      </c>
      <c r="E14" s="32" t="n">
        <f aca="false">LN(MIN(0.995,MAX(0.005,D14))/(1-MIN(0.995,MAX(0.005,D14))))</f>
        <v>0.135477987904392</v>
      </c>
      <c r="F14" s="37" t="n">
        <f aca="false">MIN(Inputs!$D$14,MAX(Inputs!$D$13,(1-Inputs!$D$12)*Inputs!$D$11+Inputs!$D$12*IF(Data!Y14="",Inputs!$D$11,Data!Y14)))</f>
        <v>0.17872706143761</v>
      </c>
      <c r="G14" s="14" t="n">
        <f aca="false">Data!D14*(1+Data!P14/100)^Inputs!$D$8</f>
        <v>21145066.2161375</v>
      </c>
      <c r="H14" s="14" t="n">
        <f aca="false">G14*D14</f>
        <v>11287612.4678907</v>
      </c>
      <c r="I14" s="13" t="n">
        <f aca="false">MIN(1/(1+EXP(-(E14+F14*Inputs!$C$16*Inputs!$D$8))),MAX(Inputs!$D$9,D14))</f>
        <v>0.661874576008992</v>
      </c>
      <c r="J14" s="13" t="n">
        <f aca="false">MIN(1/(1+EXP(-(E14+F14*Inputs!$D$16*Inputs!$D$8))),MAX(Inputs!$D$9,D14))</f>
        <v>0.769916601971442</v>
      </c>
      <c r="K14" s="13" t="n">
        <f aca="false">MIN(1/(1+EXP(-(E14+F14*Inputs!$E$16*Inputs!$D$8))),MAX(Inputs!$D$9,D14))</f>
        <v>0.851197155815843</v>
      </c>
      <c r="L14" s="14" t="n">
        <f aca="false">G14*I14</f>
        <v>13995381.7364881</v>
      </c>
      <c r="M14" s="14" t="n">
        <f aca="false">G14*J14</f>
        <v>16279937.5295897</v>
      </c>
      <c r="N14" s="14" t="n">
        <f aca="false">G14*K14</f>
        <v>17998620.2227139</v>
      </c>
      <c r="O14" s="14" t="n">
        <f aca="false">MAX(0,L14-H14)</f>
        <v>2707769.26859743</v>
      </c>
      <c r="P14" s="14" t="n">
        <f aca="false">MAX(0,M14-H14)</f>
        <v>4992325.06169907</v>
      </c>
      <c r="Q14" s="14" t="n">
        <f aca="false">MAX(0,N14-H14)</f>
        <v>6711007.75482328</v>
      </c>
    </row>
    <row r="15" customFormat="false" ht="15" hidden="false" customHeight="false" outlineLevel="0" collapsed="false">
      <c r="A15" s="34" t="str">
        <f aca="false">Data!A15</f>
        <v>Eswatini</v>
      </c>
      <c r="B15" s="34" t="str">
        <f aca="false">Data!B15</f>
        <v>SWZ</v>
      </c>
      <c r="C15" s="35" t="n">
        <f aca="false">Data!AB15</f>
        <v>0</v>
      </c>
      <c r="D15" s="36" t="n">
        <f aca="false">Data!E15</f>
        <v>0.504069175550071</v>
      </c>
      <c r="E15" s="32" t="n">
        <f aca="false">LN(MIN(0.995,MAX(0.005,D15))/(1-MIN(0.995,MAX(0.005,D15))))</f>
        <v>0.0162770615648612</v>
      </c>
      <c r="F15" s="37" t="n">
        <f aca="false">MIN(Inputs!$D$14,MAX(Inputs!$D$13,(1-Inputs!$D$12)*Inputs!$D$11+Inputs!$D$12*IF(Data!Y15="",Inputs!$D$11,Data!Y15)))</f>
        <v>0.17872706143761</v>
      </c>
      <c r="G15" s="14" t="n">
        <f aca="false">Data!D15*(1+Data!P15/100)^Inputs!$D$8</f>
        <v>866210.917847783</v>
      </c>
      <c r="H15" s="14" t="n">
        <f aca="false">G15*D15</f>
        <v>436630.223212002</v>
      </c>
      <c r="I15" s="13" t="n">
        <f aca="false">MIN(1/(1+EXP(-(E15+F15*Inputs!$C$16*Inputs!$D$8))),MAX(Inputs!$D$9,D15))</f>
        <v>0.634705734558092</v>
      </c>
      <c r="J15" s="13" t="n">
        <f aca="false">MIN(1/(1+EXP(-(E15+F15*Inputs!$D$16*Inputs!$D$8))),MAX(Inputs!$D$9,D15))</f>
        <v>0.74812543086899</v>
      </c>
      <c r="K15" s="13" t="n">
        <f aca="false">MIN(1/(1+EXP(-(E15+F15*Inputs!$E$16*Inputs!$D$8))),MAX(Inputs!$D$9,D15))</f>
        <v>0.835458878940188</v>
      </c>
      <c r="L15" s="14" t="n">
        <f aca="false">G15*I15</f>
        <v>549789.036894816</v>
      </c>
      <c r="M15" s="14" t="n">
        <f aca="false">G15*J15</f>
        <v>648034.416138296</v>
      </c>
      <c r="N15" s="14" t="n">
        <f aca="false">G15*K15</f>
        <v>723683.602350859</v>
      </c>
      <c r="O15" s="14" t="n">
        <f aca="false">MAX(0,L15-H15)</f>
        <v>113158.813682814</v>
      </c>
      <c r="P15" s="14" t="n">
        <f aca="false">MAX(0,M15-H15)</f>
        <v>211404.192926294</v>
      </c>
      <c r="Q15" s="14" t="n">
        <f aca="false">MAX(0,N15-H15)</f>
        <v>287053.379138857</v>
      </c>
    </row>
    <row r="16" customFormat="false" ht="15" hidden="false" customHeight="false" outlineLevel="0" collapsed="false">
      <c r="A16" s="34" t="str">
        <f aca="false">Data!A16</f>
        <v>Ethiopia</v>
      </c>
      <c r="B16" s="34" t="str">
        <f aca="false">Data!B16</f>
        <v>ETH</v>
      </c>
      <c r="C16" s="35" t="n">
        <f aca="false">Data!AB16</f>
        <v>1</v>
      </c>
      <c r="D16" s="36" t="n">
        <f aca="false">Data!E16</f>
        <v>0.0945488963590303</v>
      </c>
      <c r="E16" s="32" t="n">
        <f aca="false">LN(MIN(0.995,MAX(0.005,D16))/(1-MIN(0.995,MAX(0.005,D16))))</f>
        <v>-2.25931615410144</v>
      </c>
      <c r="F16" s="37" t="n">
        <f aca="false">MIN(Inputs!$D$14,MAX(Inputs!$D$13,(1-Inputs!$D$12)*Inputs!$D$11+Inputs!$D$12*IF(Data!Y16="",Inputs!$D$11,Data!Y16)))</f>
        <v>0.17872706143761</v>
      </c>
      <c r="G16" s="14" t="n">
        <f aca="false">Data!D16*(1+Data!P16/100)^Inputs!$D$8</f>
        <v>90935719.183738</v>
      </c>
      <c r="H16" s="14" t="n">
        <f aca="false">G16*D16</f>
        <v>8597871.88843712</v>
      </c>
      <c r="I16" s="13" t="n">
        <f aca="false">MIN(1/(1+EXP(-(E16+F16*Inputs!$C$16*Inputs!$D$8))),MAX(Inputs!$D$9,D16))</f>
        <v>0.151467800306243</v>
      </c>
      <c r="J16" s="13" t="n">
        <f aca="false">MIN(1/(1+EXP(-(E16+F16*Inputs!$D$16*Inputs!$D$8))),MAX(Inputs!$D$9,D16))</f>
        <v>0.233804191442453</v>
      </c>
      <c r="K16" s="13" t="n">
        <f aca="false">MIN(1/(1+EXP(-(E16+F16*Inputs!$E$16*Inputs!$D$8))),MAX(Inputs!$D$9,D16))</f>
        <v>0.342815454546151</v>
      </c>
      <c r="L16" s="14" t="n">
        <f aca="false">G16*I16</f>
        <v>13773833.354027</v>
      </c>
      <c r="M16" s="14" t="n">
        <f aca="false">G16*J16</f>
        <v>21261152.2969918</v>
      </c>
      <c r="N16" s="14" t="n">
        <f aca="false">G16*K16</f>
        <v>31174169.9064543</v>
      </c>
      <c r="O16" s="14" t="n">
        <f aca="false">MAX(0,L16-H16)</f>
        <v>5175961.46558991</v>
      </c>
      <c r="P16" s="14" t="n">
        <f aca="false">MAX(0,M16-H16)</f>
        <v>12663280.4085547</v>
      </c>
      <c r="Q16" s="14" t="n">
        <f aca="false">MAX(0,N16-H16)</f>
        <v>22576298.0180172</v>
      </c>
    </row>
    <row r="17" customFormat="false" ht="15" hidden="false" customHeight="false" outlineLevel="0" collapsed="false">
      <c r="A17" s="34" t="str">
        <f aca="false">Data!A17</f>
        <v>Gabon</v>
      </c>
      <c r="B17" s="34" t="str">
        <f aca="false">Data!B17</f>
        <v>GAB</v>
      </c>
      <c r="C17" s="35" t="n">
        <f aca="false">Data!AB17</f>
        <v>0</v>
      </c>
      <c r="D17" s="36" t="n">
        <f aca="false">Data!E17</f>
        <v>0.616415501329653</v>
      </c>
      <c r="E17" s="32" t="n">
        <f aca="false">LN(MIN(0.995,MAX(0.005,D17))/(1-MIN(0.995,MAX(0.005,D17))))</f>
        <v>0.474361319243058</v>
      </c>
      <c r="F17" s="37" t="n">
        <f aca="false">MIN(Inputs!$D$14,MAX(Inputs!$D$13,(1-Inputs!$D$12)*Inputs!$D$11+Inputs!$D$12*IF(Data!Y17="",Inputs!$D$11,Data!Y17)))</f>
        <v>0.17872706143761</v>
      </c>
      <c r="G17" s="14" t="n">
        <f aca="false">Data!D17*(1+Data!P17/100)^Inputs!$D$8</f>
        <v>1788731.5444268</v>
      </c>
      <c r="H17" s="14" t="n">
        <f aca="false">G17*D17</f>
        <v>1102601.85170201</v>
      </c>
      <c r="I17" s="13" t="n">
        <f aca="false">MIN(1/(1+EXP(-(E17+F17*Inputs!$C$16*Inputs!$D$8))),MAX(Inputs!$D$9,D17))</f>
        <v>0.733126304636042</v>
      </c>
      <c r="J17" s="13" t="n">
        <f aca="false">MIN(1/(1+EXP(-(E17+F17*Inputs!$D$16*Inputs!$D$8))),MAX(Inputs!$D$9,D17))</f>
        <v>0.82444002673521</v>
      </c>
      <c r="K17" s="13" t="n">
        <f aca="false">MIN(1/(1+EXP(-(E17+F17*Inputs!$E$16*Inputs!$D$8))),MAX(Inputs!$D$9,D17))</f>
        <v>0.889230485800889</v>
      </c>
      <c r="L17" s="14" t="n">
        <f aca="false">G17*I17</f>
        <v>1311366.14715154</v>
      </c>
      <c r="M17" s="14" t="n">
        <f aca="false">G17*J17</f>
        <v>1474701.88230934</v>
      </c>
      <c r="N17" s="14" t="n">
        <f aca="false">G17*K17</f>
        <v>1590594.62021801</v>
      </c>
      <c r="O17" s="14" t="n">
        <f aca="false">MAX(0,L17-H17)</f>
        <v>208764.29544953</v>
      </c>
      <c r="P17" s="14" t="n">
        <f aca="false">MAX(0,M17-H17)</f>
        <v>372100.030607333</v>
      </c>
      <c r="Q17" s="14" t="n">
        <f aca="false">MAX(0,N17-H17)</f>
        <v>487992.768516006</v>
      </c>
    </row>
    <row r="18" customFormat="false" ht="15" hidden="false" customHeight="false" outlineLevel="0" collapsed="false">
      <c r="A18" s="34" t="str">
        <f aca="false">Data!A18</f>
        <v>Gambia, The</v>
      </c>
      <c r="B18" s="34" t="str">
        <f aca="false">Data!B18</f>
        <v>GMB</v>
      </c>
      <c r="C18" s="35" t="n">
        <f aca="false">Data!AB18</f>
        <v>0</v>
      </c>
      <c r="D18" s="36" t="n">
        <f aca="false">Data!E18</f>
        <v>0.190885437839158</v>
      </c>
      <c r="E18" s="32" t="n">
        <f aca="false">LN(MIN(0.995,MAX(0.005,D18))/(1-MIN(0.995,MAX(0.005,D18))))</f>
        <v>-1.44426707042164</v>
      </c>
      <c r="F18" s="37" t="n">
        <f aca="false">MIN(Inputs!$D$14,MAX(Inputs!$D$13,(1-Inputs!$D$12)*Inputs!$D$11+Inputs!$D$12*IF(Data!Y18="",Inputs!$D$11,Data!Y18)))</f>
        <v>0.17872706143761</v>
      </c>
      <c r="G18" s="14" t="n">
        <f aca="false">Data!D18*(1+Data!P18/100)^Inputs!$D$8</f>
        <v>1830296.04427337</v>
      </c>
      <c r="H18" s="14" t="n">
        <f aca="false">G18*D18</f>
        <v>349376.861786401</v>
      </c>
      <c r="I18" s="13" t="n">
        <f aca="false">MIN(1/(1+EXP(-(E18+F18*Inputs!$C$16*Inputs!$D$8))),MAX(Inputs!$D$9,D18))</f>
        <v>0.287391683793449</v>
      </c>
      <c r="J18" s="13" t="n">
        <f aca="false">MIN(1/(1+EXP(-(E18+F18*Inputs!$D$16*Inputs!$D$8))),MAX(Inputs!$D$9,D18))</f>
        <v>0.408080858762982</v>
      </c>
      <c r="K18" s="13" t="n">
        <f aca="false">MIN(1/(1+EXP(-(E18+F18*Inputs!$E$16*Inputs!$D$8))),MAX(Inputs!$D$9,D18))</f>
        <v>0.540977008982988</v>
      </c>
      <c r="L18" s="14" t="n">
        <f aca="false">G18*I18</f>
        <v>526011.862004213</v>
      </c>
      <c r="M18" s="14" t="n">
        <f aca="false">G18*J18</f>
        <v>746908.781537566</v>
      </c>
      <c r="N18" s="14" t="n">
        <f aca="false">G18*K18</f>
        <v>990148.079584402</v>
      </c>
      <c r="O18" s="14" t="n">
        <f aca="false">MAX(0,L18-H18)</f>
        <v>176635.000217812</v>
      </c>
      <c r="P18" s="14" t="n">
        <f aca="false">MAX(0,M18-H18)</f>
        <v>397531.919751165</v>
      </c>
      <c r="Q18" s="14" t="n">
        <f aca="false">MAX(0,N18-H18)</f>
        <v>640771.217798001</v>
      </c>
    </row>
    <row r="19" customFormat="false" ht="15" hidden="false" customHeight="false" outlineLevel="0" collapsed="false">
      <c r="A19" s="34" t="str">
        <f aca="false">Data!A19</f>
        <v>Ghana</v>
      </c>
      <c r="B19" s="34" t="str">
        <f aca="false">Data!B19</f>
        <v>GHA</v>
      </c>
      <c r="C19" s="35" t="n">
        <f aca="false">Data!AB19</f>
        <v>1</v>
      </c>
      <c r="D19" s="36" t="n">
        <f aca="false">Data!E19</f>
        <v>0.782813635015091</v>
      </c>
      <c r="E19" s="32" t="n">
        <f aca="false">LN(MIN(0.995,MAX(0.005,D19))/(1-MIN(0.995,MAX(0.005,D19))))</f>
        <v>1.28213884385502</v>
      </c>
      <c r="F19" s="37" t="n">
        <f aca="false">MIN(Inputs!$D$14,MAX(Inputs!$D$13,(1-Inputs!$D$12)*Inputs!$D$11+Inputs!$D$12*IF(Data!Y19="",Inputs!$D$11,Data!Y19)))</f>
        <v>0.17872706143761</v>
      </c>
      <c r="G19" s="14" t="n">
        <f aca="false">Data!D19*(1+Data!P19/100)^Inputs!$D$8</f>
        <v>24106340.6936756</v>
      </c>
      <c r="H19" s="14" t="n">
        <f aca="false">G19*D19</f>
        <v>18870772.1853284</v>
      </c>
      <c r="I19" s="13" t="n">
        <f aca="false">MIN(1/(1+EXP(-(E19+F19*Inputs!$C$16*Inputs!$D$8))),MAX(Inputs!$D$9,D19))</f>
        <v>0.860364421610178</v>
      </c>
      <c r="J19" s="13" t="n">
        <f aca="false">MIN(1/(1+EXP(-(E19+F19*Inputs!$D$16*Inputs!$D$8))),MAX(Inputs!$D$9,D19))</f>
        <v>0.91329134351478</v>
      </c>
      <c r="K19" s="13" t="n">
        <f aca="false">MIN(1/(1+EXP(-(E19+F19*Inputs!$E$16*Inputs!$D$8))),MAX(Inputs!$D$9,D19))</f>
        <v>0.92</v>
      </c>
      <c r="L19" s="14" t="n">
        <f aca="false">G19*I19</f>
        <v>20740237.8680521</v>
      </c>
      <c r="M19" s="14" t="n">
        <f aca="false">G19*J19</f>
        <v>22016112.279352</v>
      </c>
      <c r="N19" s="14" t="n">
        <f aca="false">G19*K19</f>
        <v>22177833.4381815</v>
      </c>
      <c r="O19" s="14" t="n">
        <f aca="false">MAX(0,L19-H19)</f>
        <v>1869465.68272369</v>
      </c>
      <c r="P19" s="14" t="n">
        <f aca="false">MAX(0,M19-H19)</f>
        <v>3145340.09402359</v>
      </c>
      <c r="Q19" s="14" t="n">
        <f aca="false">MAX(0,N19-H19)</f>
        <v>3307061.25285314</v>
      </c>
    </row>
    <row r="20" customFormat="false" ht="15" hidden="false" customHeight="false" outlineLevel="0" collapsed="false">
      <c r="A20" s="34" t="str">
        <f aca="false">Data!A20</f>
        <v>Guinea</v>
      </c>
      <c r="B20" s="34" t="str">
        <f aca="false">Data!B20</f>
        <v>GIN</v>
      </c>
      <c r="C20" s="35" t="n">
        <f aca="false">Data!AB20</f>
        <v>1</v>
      </c>
      <c r="D20" s="36" t="n">
        <f aca="false">Data!E20</f>
        <v>0.258219395095297</v>
      </c>
      <c r="E20" s="32" t="n">
        <f aca="false">LN(MIN(0.995,MAX(0.005,D20))/(1-MIN(0.995,MAX(0.005,D20))))</f>
        <v>-1.05524392657428</v>
      </c>
      <c r="F20" s="37" t="n">
        <f aca="false">MIN(Inputs!$D$14,MAX(Inputs!$D$13,(1-Inputs!$D$12)*Inputs!$D$11+Inputs!$D$12*IF(Data!Y20="",Inputs!$D$11,Data!Y20)))</f>
        <v>0.17872706143761</v>
      </c>
      <c r="G20" s="14" t="n">
        <f aca="false">Data!D20*(1+Data!P20/100)^Inputs!$D$8</f>
        <v>9756281.84262084</v>
      </c>
      <c r="H20" s="14" t="n">
        <f aca="false">G20*D20</f>
        <v>2519261.19578078</v>
      </c>
      <c r="I20" s="13" t="n">
        <f aca="false">MIN(1/(1+EXP(-(E20+F20*Inputs!$C$16*Inputs!$D$8))),MAX(Inputs!$D$9,D20))</f>
        <v>0.373071421997828</v>
      </c>
      <c r="J20" s="13" t="n">
        <f aca="false">MIN(1/(1+EXP(-(E20+F20*Inputs!$D$16*Inputs!$D$8))),MAX(Inputs!$D$9,D20))</f>
        <v>0.504279506007442</v>
      </c>
      <c r="K20" s="13" t="n">
        <f aca="false">MIN(1/(1+EXP(-(E20+F20*Inputs!$E$16*Inputs!$D$8))),MAX(Inputs!$D$9,D20))</f>
        <v>0.634900790177711</v>
      </c>
      <c r="L20" s="14" t="n">
        <f aca="false">G20*I20</f>
        <v>3639789.94043814</v>
      </c>
      <c r="M20" s="14" t="n">
        <f aca="false">G20*J20</f>
        <v>4919892.98806622</v>
      </c>
      <c r="N20" s="14" t="n">
        <f aca="false">G20*K20</f>
        <v>6194271.05107643</v>
      </c>
      <c r="O20" s="14" t="n">
        <f aca="false">MAX(0,L20-H20)</f>
        <v>1120528.74465736</v>
      </c>
      <c r="P20" s="14" t="n">
        <f aca="false">MAX(0,M20-H20)</f>
        <v>2400631.79228543</v>
      </c>
      <c r="Q20" s="14" t="n">
        <f aca="false">MAX(0,N20-H20)</f>
        <v>3675009.85529564</v>
      </c>
    </row>
    <row r="21" customFormat="false" ht="15" hidden="false" customHeight="false" outlineLevel="0" collapsed="false">
      <c r="A21" s="34" t="str">
        <f aca="false">Data!A21</f>
        <v>Kenya</v>
      </c>
      <c r="B21" s="34" t="str">
        <f aca="false">Data!B21</f>
        <v>KEN</v>
      </c>
      <c r="C21" s="35" t="n">
        <f aca="false">Data!AB21</f>
        <v>0</v>
      </c>
      <c r="D21" s="36" t="n">
        <f aca="false">Data!E21</f>
        <v>0.874994112747318</v>
      </c>
      <c r="E21" s="32" t="n">
        <f aca="false">LN(MIN(0.995,MAX(0.005,D21))/(1-MIN(0.995,MAX(0.005,D21))))</f>
        <v>1.94585632383152</v>
      </c>
      <c r="F21" s="37" t="n">
        <f aca="false">MIN(Inputs!$D$14,MAX(Inputs!$D$13,(1-Inputs!$D$12)*Inputs!$D$11+Inputs!$D$12*IF(Data!Y21="",Inputs!$D$11,Data!Y21)))</f>
        <v>0.17872706143761</v>
      </c>
      <c r="G21" s="14" t="n">
        <f aca="false">Data!D21*(1+Data!P21/100)^Inputs!$D$8</f>
        <v>38886066.0836709</v>
      </c>
      <c r="H21" s="14" t="n">
        <f aca="false">G21*D21</f>
        <v>34025078.8911152</v>
      </c>
      <c r="I21" s="13" t="n">
        <f aca="false">MIN(1/(1+EXP(-(E21+F21*Inputs!$C$16*Inputs!$D$8))),MAX(Inputs!$D$9,D21))</f>
        <v>0.92</v>
      </c>
      <c r="J21" s="13" t="n">
        <f aca="false">MIN(1/(1+EXP(-(E21+F21*Inputs!$D$16*Inputs!$D$8))),MAX(Inputs!$D$9,D21))</f>
        <v>0.92</v>
      </c>
      <c r="K21" s="13" t="n">
        <f aca="false">MIN(1/(1+EXP(-(E21+F21*Inputs!$E$16*Inputs!$D$8))),MAX(Inputs!$D$9,D21))</f>
        <v>0.92</v>
      </c>
      <c r="L21" s="14" t="n">
        <f aca="false">G21*I21</f>
        <v>35775180.7969773</v>
      </c>
      <c r="M21" s="14" t="n">
        <f aca="false">G21*J21</f>
        <v>35775180.7969773</v>
      </c>
      <c r="N21" s="14" t="n">
        <f aca="false">G21*K21</f>
        <v>35775180.7969773</v>
      </c>
      <c r="O21" s="14" t="n">
        <f aca="false">MAX(0,L21-H21)</f>
        <v>1750101.90586203</v>
      </c>
      <c r="P21" s="14" t="n">
        <f aca="false">MAX(0,M21-H21)</f>
        <v>1750101.90586203</v>
      </c>
      <c r="Q21" s="14" t="n">
        <f aca="false">MAX(0,N21-H21)</f>
        <v>1750101.90586203</v>
      </c>
    </row>
    <row r="22" customFormat="false" ht="15" hidden="false" customHeight="false" outlineLevel="0" collapsed="false">
      <c r="A22" s="34" t="str">
        <f aca="false">Data!A22</f>
        <v>Lesotho</v>
      </c>
      <c r="B22" s="34" t="str">
        <f aca="false">Data!B22</f>
        <v>LSO</v>
      </c>
      <c r="C22" s="35" t="n">
        <f aca="false">Data!AB22</f>
        <v>0</v>
      </c>
      <c r="D22" s="36" t="n">
        <f aca="false">Data!E22</f>
        <v>0.534728194557147</v>
      </c>
      <c r="E22" s="32" t="n">
        <f aca="false">LN(MIN(0.995,MAX(0.005,D22))/(1-MIN(0.995,MAX(0.005,D22))))</f>
        <v>0.139136807587787</v>
      </c>
      <c r="F22" s="37" t="n">
        <f aca="false">MIN(Inputs!$D$14,MAX(Inputs!$D$13,(1-Inputs!$D$12)*Inputs!$D$11+Inputs!$D$12*IF(Data!Y22="",Inputs!$D$11,Data!Y22)))</f>
        <v>0.17872706143761</v>
      </c>
      <c r="G22" s="14" t="n">
        <f aca="false">Data!D22*(1+Data!P22/100)^Inputs!$D$8</f>
        <v>1607839.86647347</v>
      </c>
      <c r="H22" s="14" t="n">
        <f aca="false">G22*D22</f>
        <v>859757.308936361</v>
      </c>
      <c r="I22" s="13" t="n">
        <f aca="false">MIN(1/(1+EXP(-(E22+F22*Inputs!$C$16*Inputs!$D$8))),MAX(Inputs!$D$9,D22))</f>
        <v>0.662692921898777</v>
      </c>
      <c r="J22" s="13" t="n">
        <f aca="false">MIN(1/(1+EXP(-(E22+F22*Inputs!$D$16*Inputs!$D$8))),MAX(Inputs!$D$9,D22))</f>
        <v>0.770564103507201</v>
      </c>
      <c r="K22" s="13" t="n">
        <f aca="false">MIN(1/(1+EXP(-(E22+F22*Inputs!$E$16*Inputs!$D$8))),MAX(Inputs!$D$9,D22))</f>
        <v>0.851659988716276</v>
      </c>
      <c r="L22" s="14" t="n">
        <f aca="false">G22*I22</f>
        <v>1065504.09905864</v>
      </c>
      <c r="M22" s="14" t="n">
        <f aca="false">G22*J22</f>
        <v>1238943.68529226</v>
      </c>
      <c r="N22" s="14" t="n">
        <f aca="false">G22*K22</f>
        <v>1369332.88253837</v>
      </c>
      <c r="O22" s="14" t="n">
        <f aca="false">MAX(0,L22-H22)</f>
        <v>205746.79012228</v>
      </c>
      <c r="P22" s="14" t="n">
        <f aca="false">MAX(0,M22-H22)</f>
        <v>379186.376355903</v>
      </c>
      <c r="Q22" s="14" t="n">
        <f aca="false">MAX(0,N22-H22)</f>
        <v>509575.57360201</v>
      </c>
    </row>
    <row r="23" customFormat="false" ht="15" hidden="false" customHeight="false" outlineLevel="0" collapsed="false">
      <c r="A23" s="34" t="str">
        <f aca="false">Data!A23</f>
        <v>Liberia</v>
      </c>
      <c r="B23" s="34" t="str">
        <f aca="false">Data!B23</f>
        <v>LBR</v>
      </c>
      <c r="C23" s="35" t="n">
        <f aca="false">Data!AB23</f>
        <v>1</v>
      </c>
      <c r="D23" s="36" t="n">
        <f aca="false">Data!E23</f>
        <v>0.475292537260812</v>
      </c>
      <c r="E23" s="32" t="n">
        <f aca="false">LN(MIN(0.995,MAX(0.005,D23))/(1-MIN(0.995,MAX(0.005,D23))))</f>
        <v>-0.0989104110768629</v>
      </c>
      <c r="F23" s="37" t="n">
        <f aca="false">MIN(Inputs!$D$14,MAX(Inputs!$D$13,(1-Inputs!$D$12)*Inputs!$D$11+Inputs!$D$12*IF(Data!Y23="",Inputs!$D$11,Data!Y23)))</f>
        <v>0.17872706143761</v>
      </c>
      <c r="G23" s="14" t="n">
        <f aca="false">Data!D23*(1+Data!P23/100)^Inputs!$D$8</f>
        <v>3746295.72929637</v>
      </c>
      <c r="H23" s="14" t="n">
        <f aca="false">G23*D23</f>
        <v>1780586.40250661</v>
      </c>
      <c r="I23" s="13" t="n">
        <f aca="false">MIN(1/(1+EXP(-(E23+F23*Inputs!$C$16*Inputs!$D$8))),MAX(Inputs!$D$9,D23))</f>
        <v>0.607608518842892</v>
      </c>
      <c r="J23" s="13" t="n">
        <f aca="false">MIN(1/(1+EXP(-(E23+F23*Inputs!$D$16*Inputs!$D$8))),MAX(Inputs!$D$9,D23))</f>
        <v>0.725807011199837</v>
      </c>
      <c r="K23" s="13" t="n">
        <f aca="false">MIN(1/(1+EXP(-(E23+F23*Inputs!$E$16*Inputs!$D$8))),MAX(Inputs!$D$9,D23))</f>
        <v>0.819006832127495</v>
      </c>
      <c r="L23" s="14" t="n">
        <f aca="false">G23*I23</f>
        <v>2276281.19922522</v>
      </c>
      <c r="M23" s="14" t="n">
        <f aca="false">G23*J23</f>
        <v>2719087.70635131</v>
      </c>
      <c r="N23" s="14" t="n">
        <f aca="false">G23*K23</f>
        <v>3068241.79746378</v>
      </c>
      <c r="O23" s="14" t="n">
        <f aca="false">MAX(0,L23-H23)</f>
        <v>495694.796718604</v>
      </c>
      <c r="P23" s="14" t="n">
        <f aca="false">MAX(0,M23-H23)</f>
        <v>938501.303844694</v>
      </c>
      <c r="Q23" s="14" t="n">
        <f aca="false">MAX(0,N23-H23)</f>
        <v>1287655.39495716</v>
      </c>
    </row>
    <row r="24" customFormat="false" ht="15" hidden="false" customHeight="false" outlineLevel="0" collapsed="false">
      <c r="A24" s="34" t="str">
        <f aca="false">Data!A24</f>
        <v>Madagascar</v>
      </c>
      <c r="B24" s="34" t="str">
        <f aca="false">Data!B24</f>
        <v>MDG</v>
      </c>
      <c r="C24" s="35" t="n">
        <f aca="false">Data!AB24</f>
        <v>1</v>
      </c>
      <c r="D24" s="36" t="n">
        <f aca="false">Data!E24</f>
        <v>0.193550167093779</v>
      </c>
      <c r="E24" s="32" t="n">
        <f aca="false">LN(MIN(0.995,MAX(0.005,D24))/(1-MIN(0.995,MAX(0.005,D24))))</f>
        <v>-1.42710495183252</v>
      </c>
      <c r="F24" s="37" t="n">
        <f aca="false">MIN(Inputs!$D$14,MAX(Inputs!$D$13,(1-Inputs!$D$12)*Inputs!$D$11+Inputs!$D$12*IF(Data!Y24="",Inputs!$D$11,Data!Y24)))</f>
        <v>0.17872706143761</v>
      </c>
      <c r="G24" s="14" t="n">
        <f aca="false">Data!D24*(1+Data!P24/100)^Inputs!$D$8</f>
        <v>21778689.9411116</v>
      </c>
      <c r="H24" s="14" t="n">
        <f aca="false">G24*D24</f>
        <v>4215269.07718576</v>
      </c>
      <c r="I24" s="13" t="n">
        <f aca="false">MIN(1/(1+EXP(-(E24+F24*Inputs!$C$16*Inputs!$D$8))),MAX(Inputs!$D$9,D24))</f>
        <v>0.2909192310381</v>
      </c>
      <c r="J24" s="13" t="n">
        <f aca="false">MIN(1/(1+EXP(-(E24+F24*Inputs!$D$16*Inputs!$D$8))),MAX(Inputs!$D$9,D24))</f>
        <v>0.41223283140523</v>
      </c>
      <c r="K24" s="13" t="n">
        <f aca="false">MIN(1/(1+EXP(-(E24+F24*Inputs!$E$16*Inputs!$D$8))),MAX(Inputs!$D$9,D24))</f>
        <v>0.545235622049034</v>
      </c>
      <c r="L24" s="14" t="n">
        <f aca="false">G24*I24</f>
        <v>6335839.7306854</v>
      </c>
      <c r="M24" s="14" t="n">
        <f aca="false">G24*J24</f>
        <v>8977891.01872105</v>
      </c>
      <c r="N24" s="14" t="n">
        <f aca="false">G24*K24</f>
        <v>11874517.557455</v>
      </c>
      <c r="O24" s="14" t="n">
        <f aca="false">MAX(0,L24-H24)</f>
        <v>2120570.65349964</v>
      </c>
      <c r="P24" s="14" t="n">
        <f aca="false">MAX(0,M24-H24)</f>
        <v>4762621.9415353</v>
      </c>
      <c r="Q24" s="14" t="n">
        <f aca="false">MAX(0,N24-H24)</f>
        <v>7659248.48026928</v>
      </c>
    </row>
    <row r="25" customFormat="false" ht="15" hidden="false" customHeight="false" outlineLevel="0" collapsed="false">
      <c r="A25" s="34" t="str">
        <f aca="false">Data!A25</f>
        <v>Malawi</v>
      </c>
      <c r="B25" s="34" t="str">
        <f aca="false">Data!B25</f>
        <v>MWI</v>
      </c>
      <c r="C25" s="35" t="n">
        <f aca="false">Data!AB25</f>
        <v>1</v>
      </c>
      <c r="D25" s="36" t="n">
        <f aca="false">Data!E25</f>
        <v>0.473991978362086</v>
      </c>
      <c r="E25" s="32" t="n">
        <f aca="false">LN(MIN(0.995,MAX(0.005,D25))/(1-MIN(0.995,MAX(0.005,D25))))</f>
        <v>-0.104126064618482</v>
      </c>
      <c r="F25" s="37" t="n">
        <f aca="false">MIN(Inputs!$D$14,MAX(Inputs!$D$13,(1-Inputs!$D$12)*Inputs!$D$11+Inputs!$D$12*IF(Data!Y25="",Inputs!$D$11,Data!Y25)))</f>
        <v>0.17872706143761</v>
      </c>
      <c r="G25" s="14" t="n">
        <f aca="false">Data!D25*(1+Data!P25/100)^Inputs!$D$8</f>
        <v>14427095.0463439</v>
      </c>
      <c r="H25" s="14" t="n">
        <f aca="false">G25*D25</f>
        <v>6838327.32303438</v>
      </c>
      <c r="I25" s="13" t="n">
        <f aca="false">MIN(1/(1+EXP(-(E25+F25*Inputs!$C$16*Inputs!$D$8))),MAX(Inputs!$D$9,D25))</f>
        <v>0.606364305111564</v>
      </c>
      <c r="J25" s="13" t="n">
        <f aca="false">MIN(1/(1+EXP(-(E25+F25*Inputs!$D$16*Inputs!$D$8))),MAX(Inputs!$D$9,D25))</f>
        <v>0.724767816226123</v>
      </c>
      <c r="K25" s="13" t="n">
        <f aca="false">MIN(1/(1+EXP(-(E25+F25*Inputs!$E$16*Inputs!$D$8))),MAX(Inputs!$D$9,D25))</f>
        <v>0.818232404837773</v>
      </c>
      <c r="L25" s="14" t="n">
        <f aca="false">G25*I25</f>
        <v>8748075.46255479</v>
      </c>
      <c r="M25" s="14" t="n">
        <f aca="false">G25*J25</f>
        <v>10456294.1712254</v>
      </c>
      <c r="N25" s="14" t="n">
        <f aca="false">G25*K25</f>
        <v>11804716.6745931</v>
      </c>
      <c r="O25" s="14" t="n">
        <f aca="false">MAX(0,L25-H25)</f>
        <v>1909748.13952041</v>
      </c>
      <c r="P25" s="14" t="n">
        <f aca="false">MAX(0,M25-H25)</f>
        <v>3617966.84819097</v>
      </c>
      <c r="Q25" s="14" t="n">
        <f aca="false">MAX(0,N25-H25)</f>
        <v>4966389.35155869</v>
      </c>
    </row>
    <row r="26" customFormat="false" ht="15" hidden="false" customHeight="false" outlineLevel="0" collapsed="false">
      <c r="A26" s="34" t="str">
        <f aca="false">Data!A26</f>
        <v>Mali</v>
      </c>
      <c r="B26" s="34" t="str">
        <f aca="false">Data!B26</f>
        <v>MLI</v>
      </c>
      <c r="C26" s="35" t="n">
        <f aca="false">Data!AB26</f>
        <v>1</v>
      </c>
      <c r="D26" s="36" t="n">
        <f aca="false">Data!E26</f>
        <v>0.483876158762192</v>
      </c>
      <c r="E26" s="32" t="n">
        <f aca="false">LN(MIN(0.995,MAX(0.005,D26))/(1-MIN(0.995,MAX(0.005,D26))))</f>
        <v>-0.0645177354342618</v>
      </c>
      <c r="F26" s="37" t="n">
        <f aca="false">MIN(Inputs!$D$14,MAX(Inputs!$D$13,(1-Inputs!$D$12)*Inputs!$D$11+Inputs!$D$12*IF(Data!Y26="",Inputs!$D$11,Data!Y26)))</f>
        <v>0.17872706143761</v>
      </c>
      <c r="G26" s="14" t="n">
        <f aca="false">Data!D26*(1+Data!P26/100)^Inputs!$D$8</f>
        <v>15143423.0408808</v>
      </c>
      <c r="H26" s="14" t="n">
        <f aca="false">G26*D26</f>
        <v>7327541.37153225</v>
      </c>
      <c r="I26" s="13" t="n">
        <f aca="false">MIN(1/(1+EXP(-(E26+F26*Inputs!$C$16*Inputs!$D$8))),MAX(Inputs!$D$9,D26))</f>
        <v>0.615777396787698</v>
      </c>
      <c r="J26" s="13" t="n">
        <f aca="false">MIN(1/(1+EXP(-(E26+F26*Inputs!$D$16*Inputs!$D$8))),MAX(Inputs!$D$9,D26))</f>
        <v>0.732598128690302</v>
      </c>
      <c r="K26" s="13" t="n">
        <f aca="false">MIN(1/(1+EXP(-(E26+F26*Inputs!$E$16*Inputs!$D$8))),MAX(Inputs!$D$9,D26))</f>
        <v>0.824049198715787</v>
      </c>
      <c r="L26" s="14" t="n">
        <f aca="false">G26*I26</f>
        <v>9324977.6185684</v>
      </c>
      <c r="M26" s="14" t="n">
        <f aca="false">G26*J26</f>
        <v>11094043.3817149</v>
      </c>
      <c r="N26" s="14" t="n">
        <f aca="false">G26*K26</f>
        <v>12478925.622652</v>
      </c>
      <c r="O26" s="14" t="n">
        <f aca="false">MAX(0,L26-H26)</f>
        <v>1997436.24703615</v>
      </c>
      <c r="P26" s="14" t="n">
        <f aca="false">MAX(0,M26-H26)</f>
        <v>3766502.0101826</v>
      </c>
      <c r="Q26" s="14" t="n">
        <f aca="false">MAX(0,N26-H26)</f>
        <v>5151384.25111972</v>
      </c>
    </row>
    <row r="27" customFormat="false" ht="15" hidden="false" customHeight="false" outlineLevel="0" collapsed="false">
      <c r="A27" s="34" t="str">
        <f aca="false">Data!A27</f>
        <v>Mauritius</v>
      </c>
      <c r="B27" s="34" t="str">
        <f aca="false">Data!B27</f>
        <v>MUS</v>
      </c>
      <c r="C27" s="35" t="n">
        <f aca="false">Data!AB27</f>
        <v>0</v>
      </c>
      <c r="D27" s="36" t="n">
        <f aca="false">Data!E27</f>
        <v>0.101270671725304</v>
      </c>
      <c r="E27" s="32" t="n">
        <f aca="false">LN(MIN(0.995,MAX(0.005,D27))/(1-MIN(0.995,MAX(0.005,D27))))</f>
        <v>-2.18318505790593</v>
      </c>
      <c r="F27" s="37" t="n">
        <f aca="false">MIN(Inputs!$D$14,MAX(Inputs!$D$13,(1-Inputs!$D$12)*Inputs!$D$11+Inputs!$D$12*IF(Data!Y27="",Inputs!$D$11,Data!Y27)))</f>
        <v>0.17872706143761</v>
      </c>
      <c r="G27" s="14" t="n">
        <f aca="false">Data!D27*(1+Data!P27/100)^Inputs!$D$8</f>
        <v>1055635.27753098</v>
      </c>
      <c r="H27" s="14" t="n">
        <f aca="false">G27*D27</f>
        <v>106904.89365249</v>
      </c>
      <c r="I27" s="13" t="n">
        <f aca="false">MIN(1/(1+EXP(-(E27+F27*Inputs!$C$16*Inputs!$D$8))),MAX(Inputs!$D$9,D27))</f>
        <v>0.16151429588662</v>
      </c>
      <c r="J27" s="13" t="n">
        <f aca="false">MIN(1/(1+EXP(-(E27+F27*Inputs!$D$16*Inputs!$D$8))),MAX(Inputs!$D$9,D27))</f>
        <v>0.247717545663936</v>
      </c>
      <c r="K27" s="13" t="n">
        <f aca="false">MIN(1/(1+EXP(-(E27+F27*Inputs!$E$16*Inputs!$D$8))),MAX(Inputs!$D$9,D27))</f>
        <v>0.360166513080096</v>
      </c>
      <c r="L27" s="14" t="n">
        <f aca="false">G27*I27</f>
        <v>170500.188563493</v>
      </c>
      <c r="M27" s="14" t="n">
        <f aca="false">G27*J27</f>
        <v>261499.380066242</v>
      </c>
      <c r="N27" s="14" t="n">
        <f aca="false">G27*K27</f>
        <v>380204.476992671</v>
      </c>
      <c r="O27" s="14" t="n">
        <f aca="false">MAX(0,L27-H27)</f>
        <v>63595.294911003</v>
      </c>
      <c r="P27" s="14" t="n">
        <f aca="false">MAX(0,M27-H27)</f>
        <v>154594.486413752</v>
      </c>
      <c r="Q27" s="14" t="n">
        <f aca="false">MAX(0,N27-H27)</f>
        <v>273299.583340182</v>
      </c>
    </row>
    <row r="28" customFormat="false" ht="15" hidden="false" customHeight="false" outlineLevel="0" collapsed="false">
      <c r="A28" s="34" t="str">
        <f aca="false">Data!A28</f>
        <v>Mozambique</v>
      </c>
      <c r="B28" s="34" t="str">
        <f aca="false">Data!B28</f>
        <v>MOZ</v>
      </c>
      <c r="C28" s="35" t="n">
        <f aca="false">Data!AB28</f>
        <v>1</v>
      </c>
      <c r="D28" s="36" t="n">
        <f aca="false">Data!E28</f>
        <v>0.457209859704018</v>
      </c>
      <c r="E28" s="32" t="n">
        <f aca="false">LN(MIN(0.995,MAX(0.005,D28))/(1-MIN(0.995,MAX(0.005,D28))))</f>
        <v>-0.171580266176028</v>
      </c>
      <c r="F28" s="37" t="n">
        <f aca="false">MIN(Inputs!$D$14,MAX(Inputs!$D$13,(1-Inputs!$D$12)*Inputs!$D$11+Inputs!$D$12*IF(Data!Y28="",Inputs!$D$11,Data!Y28)))</f>
        <v>0.17872706143761</v>
      </c>
      <c r="G28" s="14" t="n">
        <f aca="false">Data!D28*(1+Data!P28/100)^Inputs!$D$8</f>
        <v>22084354.3182562</v>
      </c>
      <c r="H28" s="14" t="n">
        <f aca="false">G28*D28</f>
        <v>10097184.5395038</v>
      </c>
      <c r="I28" s="13" t="n">
        <f aca="false">MIN(1/(1+EXP(-(E28+F28*Inputs!$C$16*Inputs!$D$8))),MAX(Inputs!$D$9,D28))</f>
        <v>0.590153728554025</v>
      </c>
      <c r="J28" s="13" t="n">
        <f aca="false">MIN(1/(1+EXP(-(E28+F28*Inputs!$D$16*Inputs!$D$8))),MAX(Inputs!$D$9,D28))</f>
        <v>0.711110198398334</v>
      </c>
      <c r="K28" s="13" t="n">
        <f aca="false">MIN(1/(1+EXP(-(E28+F28*Inputs!$E$16*Inputs!$D$8))),MAX(Inputs!$D$9,D28))</f>
        <v>0.807983958468492</v>
      </c>
      <c r="L28" s="14" t="n">
        <f aca="false">G28*I28</f>
        <v>13033164.0436271</v>
      </c>
      <c r="M28" s="14" t="n">
        <f aca="false">G28*J28</f>
        <v>15704409.5807543</v>
      </c>
      <c r="N28" s="14" t="n">
        <f aca="false">G28*K28</f>
        <v>17843804.0222854</v>
      </c>
      <c r="O28" s="14" t="n">
        <f aca="false">MAX(0,L28-H28)</f>
        <v>2935979.50412335</v>
      </c>
      <c r="P28" s="14" t="n">
        <f aca="false">MAX(0,M28-H28)</f>
        <v>5607225.04125053</v>
      </c>
      <c r="Q28" s="14" t="n">
        <f aca="false">MAX(0,N28-H28)</f>
        <v>7746619.48278165</v>
      </c>
    </row>
    <row r="29" customFormat="false" ht="15" hidden="false" customHeight="false" outlineLevel="0" collapsed="false">
      <c r="A29" s="34" t="str">
        <f aca="false">Data!A29</f>
        <v>Namibia</v>
      </c>
      <c r="B29" s="34" t="str">
        <f aca="false">Data!B29</f>
        <v>NAM</v>
      </c>
      <c r="C29" s="35" t="n">
        <f aca="false">Data!AB29</f>
        <v>0</v>
      </c>
      <c r="D29" s="36" t="n">
        <f aca="false">Data!E29</f>
        <v>0.484473580646797</v>
      </c>
      <c r="E29" s="32" t="n">
        <f aca="false">LN(MIN(0.995,MAX(0.005,D29))/(1-MIN(0.995,MAX(0.005,D29))))</f>
        <v>-0.0621256513662202</v>
      </c>
      <c r="F29" s="37" t="n">
        <f aca="false">MIN(Inputs!$D$14,MAX(Inputs!$D$13,(1-Inputs!$D$12)*Inputs!$D$11+Inputs!$D$12*IF(Data!Y29="",Inputs!$D$11,Data!Y29)))</f>
        <v>0.17872706143761</v>
      </c>
      <c r="G29" s="14" t="n">
        <f aca="false">Data!D29*(1+Data!P29/100)^Inputs!$D$8</f>
        <v>2121870.99784795</v>
      </c>
      <c r="H29" s="14" t="n">
        <f aca="false">G29*D29</f>
        <v>1027990.43999799</v>
      </c>
      <c r="I29" s="13" t="n">
        <f aca="false">MIN(1/(1+EXP(-(E29+F29*Inputs!$C$16*Inputs!$D$8))),MAX(Inputs!$D$9,D29))</f>
        <v>0.61634319637204</v>
      </c>
      <c r="J29" s="13" t="n">
        <f aca="false">MIN(1/(1+EXP(-(E29+F29*Inputs!$D$16*Inputs!$D$8))),MAX(Inputs!$D$9,D29))</f>
        <v>0.733066472632246</v>
      </c>
      <c r="K29" s="13" t="n">
        <f aca="false">MIN(1/(1+EXP(-(E29+F29*Inputs!$E$16*Inputs!$D$8))),MAX(Inputs!$D$9,D29))</f>
        <v>0.824395763242642</v>
      </c>
      <c r="L29" s="14" t="n">
        <f aca="false">G29*I29</f>
        <v>1307800.75310273</v>
      </c>
      <c r="M29" s="14" t="n">
        <f aca="false">G29*J29</f>
        <v>1555472.48777306</v>
      </c>
      <c r="N29" s="14" t="n">
        <f aca="false">G29*K29</f>
        <v>1749261.46077329</v>
      </c>
      <c r="O29" s="14" t="n">
        <f aca="false">MAX(0,L29-H29)</f>
        <v>279810.313104746</v>
      </c>
      <c r="P29" s="14" t="n">
        <f aca="false">MAX(0,M29-H29)</f>
        <v>527482.047775073</v>
      </c>
      <c r="Q29" s="14" t="n">
        <f aca="false">MAX(0,N29-H29)</f>
        <v>721271.020775298</v>
      </c>
    </row>
    <row r="30" customFormat="false" ht="15" hidden="false" customHeight="false" outlineLevel="0" collapsed="false">
      <c r="A30" s="34" t="str">
        <f aca="false">Data!A30</f>
        <v>Niger</v>
      </c>
      <c r="B30" s="34" t="str">
        <f aca="false">Data!B30</f>
        <v>NER</v>
      </c>
      <c r="C30" s="35" t="n">
        <f aca="false">Data!AB30</f>
        <v>1</v>
      </c>
      <c r="D30" s="36" t="n">
        <f aca="false">Data!E30</f>
        <v>0.0570037064304953</v>
      </c>
      <c r="E30" s="32" t="n">
        <f aca="false">LN(MIN(0.995,MAX(0.005,D30))/(1-MIN(0.995,MAX(0.005,D30))))</f>
        <v>-2.80594606134169</v>
      </c>
      <c r="F30" s="37" t="n">
        <f aca="false">MIN(Inputs!$D$14,MAX(Inputs!$D$13,(1-Inputs!$D$12)*Inputs!$D$11+Inputs!$D$12*IF(Data!Y30="",Inputs!$D$11,Data!Y30)))</f>
        <v>0.17872706143761</v>
      </c>
      <c r="G30" s="14" t="n">
        <f aca="false">Data!D30*(1+Data!P30/100)^Inputs!$D$8</f>
        <v>16838956.8597615</v>
      </c>
      <c r="H30" s="14" t="n">
        <f aca="false">G30*D30</f>
        <v>959882.953429621</v>
      </c>
      <c r="I30" s="13" t="n">
        <f aca="false">MIN(1/(1+EXP(-(E30+F30*Inputs!$C$16*Inputs!$D$8))),MAX(Inputs!$D$9,D30))</f>
        <v>0.0936581690538898</v>
      </c>
      <c r="J30" s="13" t="n">
        <f aca="false">MIN(1/(1+EXP(-(E30+F30*Inputs!$D$16*Inputs!$D$8))),MAX(Inputs!$D$9,D30))</f>
        <v>0.150129759934017</v>
      </c>
      <c r="K30" s="13" t="n">
        <f aca="false">MIN(1/(1+EXP(-(E30+F30*Inputs!$E$16*Inputs!$D$8))),MAX(Inputs!$D$9,D30))</f>
        <v>0.231937618076572</v>
      </c>
      <c r="L30" s="14" t="n">
        <f aca="false">G30*I30</f>
        <v>1577105.8682627</v>
      </c>
      <c r="M30" s="14" t="n">
        <f aca="false">G30*J30</f>
        <v>2528028.55089526</v>
      </c>
      <c r="N30" s="14" t="n">
        <f aca="false">G30*K30</f>
        <v>3905587.54494724</v>
      </c>
      <c r="O30" s="14" t="n">
        <f aca="false">MAX(0,L30-H30)</f>
        <v>617222.914833082</v>
      </c>
      <c r="P30" s="14" t="n">
        <f aca="false">MAX(0,M30-H30)</f>
        <v>1568145.59746564</v>
      </c>
      <c r="Q30" s="14" t="n">
        <f aca="false">MAX(0,N30-H30)</f>
        <v>2945704.59151761</v>
      </c>
    </row>
    <row r="31" customFormat="false" ht="15" hidden="false" customHeight="false" outlineLevel="0" collapsed="false">
      <c r="A31" s="34" t="str">
        <f aca="false">Data!A31</f>
        <v>Nigeria</v>
      </c>
      <c r="B31" s="34" t="str">
        <f aca="false">Data!B31</f>
        <v>NGA</v>
      </c>
      <c r="C31" s="35" t="n">
        <f aca="false">Data!AB31</f>
        <v>1</v>
      </c>
      <c r="D31" s="36" t="n">
        <f aca="false">Data!E31</f>
        <v>0.327907521346508</v>
      </c>
      <c r="E31" s="32" t="n">
        <f aca="false">LN(MIN(0.995,MAX(0.005,D31))/(1-MIN(0.995,MAX(0.005,D31))))</f>
        <v>-0.717664326583401</v>
      </c>
      <c r="F31" s="37" t="n">
        <f aca="false">MIN(Inputs!$D$14,MAX(Inputs!$D$13,(1-Inputs!$D$12)*Inputs!$D$11+Inputs!$D$12*IF(Data!Y31="",Inputs!$D$11,Data!Y31)))</f>
        <v>0.17872706143761</v>
      </c>
      <c r="G31" s="14" t="n">
        <f aca="false">Data!D31*(1+Data!P31/100)^Inputs!$D$8</f>
        <v>150884753.302707</v>
      </c>
      <c r="H31" s="14" t="n">
        <f aca="false">G31*D31</f>
        <v>49476245.46447</v>
      </c>
      <c r="I31" s="13" t="n">
        <f aca="false">MIN(1/(1+EXP(-(E31+F31*Inputs!$C$16*Inputs!$D$8))),MAX(Inputs!$D$9,D31))</f>
        <v>0.454753333824939</v>
      </c>
      <c r="J31" s="13" t="n">
        <f aca="false">MIN(1/(1+EXP(-(E31+F31*Inputs!$D$16*Inputs!$D$8))),MAX(Inputs!$D$9,D31))</f>
        <v>0.587756376365401</v>
      </c>
      <c r="K31" s="13" t="n">
        <f aca="false">MIN(1/(1+EXP(-(E31+F31*Inputs!$E$16*Inputs!$D$8))),MAX(Inputs!$D$9,D31))</f>
        <v>0.709071580691857</v>
      </c>
      <c r="L31" s="14" t="n">
        <f aca="false">G31*I31</f>
        <v>68615344.5877595</v>
      </c>
      <c r="M31" s="14" t="n">
        <f aca="false">G31*J31</f>
        <v>88683475.8499866</v>
      </c>
      <c r="N31" s="14" t="n">
        <f aca="false">G31*K31</f>
        <v>106988090.526651</v>
      </c>
      <c r="O31" s="14" t="n">
        <f aca="false">MAX(0,L31-H31)</f>
        <v>19139099.1232895</v>
      </c>
      <c r="P31" s="14" t="n">
        <f aca="false">MAX(0,M31-H31)</f>
        <v>39207230.3855166</v>
      </c>
      <c r="Q31" s="14" t="n">
        <f aca="false">MAX(0,N31-H31)</f>
        <v>57511845.0621814</v>
      </c>
    </row>
    <row r="32" customFormat="false" ht="15" hidden="false" customHeight="false" outlineLevel="0" collapsed="false">
      <c r="A32" s="34" t="str">
        <f aca="false">Data!A32</f>
        <v>Senegal</v>
      </c>
      <c r="B32" s="34" t="str">
        <f aca="false">Data!B32</f>
        <v>SEN</v>
      </c>
      <c r="C32" s="35" t="n">
        <f aca="false">Data!AB32</f>
        <v>1</v>
      </c>
      <c r="D32" s="36" t="n">
        <f aca="false">Data!E32</f>
        <v>0.66912648954156</v>
      </c>
      <c r="E32" s="32" t="n">
        <f aca="false">LN(MIN(0.995,MAX(0.005,D32))/(1-MIN(0.995,MAX(0.005,D32))))</f>
        <v>0.704236956103162</v>
      </c>
      <c r="F32" s="37" t="n">
        <f aca="false">MIN(Inputs!$D$14,MAX(Inputs!$D$13,(1-Inputs!$D$12)*Inputs!$D$11+Inputs!$D$12*IF(Data!Y32="",Inputs!$D$11,Data!Y32)))</f>
        <v>0.17872706143761</v>
      </c>
      <c r="G32" s="14" t="n">
        <f aca="false">Data!D32*(1+Data!P32/100)^Inputs!$D$8</f>
        <v>12731430.2946534</v>
      </c>
      <c r="H32" s="14" t="n">
        <f aca="false">G32*D32</f>
        <v>8518937.25990447</v>
      </c>
      <c r="I32" s="13" t="n">
        <f aca="false">MIN(1/(1+EXP(-(E32+F32*Inputs!$C$16*Inputs!$D$8))),MAX(Inputs!$D$9,D32))</f>
        <v>0.775636789274138</v>
      </c>
      <c r="J32" s="13" t="n">
        <f aca="false">MIN(1/(1+EXP(-(E32+F32*Inputs!$D$16*Inputs!$D$8))),MAX(Inputs!$D$9,D32))</f>
        <v>0.855276443270527</v>
      </c>
      <c r="K32" s="13" t="n">
        <f aca="false">MIN(1/(1+EXP(-(E32+F32*Inputs!$E$16*Inputs!$D$8))),MAX(Inputs!$D$9,D32))</f>
        <v>0.909929998472483</v>
      </c>
      <c r="L32" s="14" t="n">
        <f aca="false">G32*I32</f>
        <v>9874965.71661242</v>
      </c>
      <c r="M32" s="14" t="n">
        <f aca="false">G32*J32</f>
        <v>10888892.4201578</v>
      </c>
      <c r="N32" s="14" t="n">
        <f aca="false">G32*K32</f>
        <v>11584710.3485665</v>
      </c>
      <c r="O32" s="14" t="n">
        <f aca="false">MAX(0,L32-H32)</f>
        <v>1356028.45670795</v>
      </c>
      <c r="P32" s="14" t="n">
        <f aca="false">MAX(0,M32-H32)</f>
        <v>2369955.16025329</v>
      </c>
      <c r="Q32" s="14" t="n">
        <f aca="false">MAX(0,N32-H32)</f>
        <v>3065773.08866198</v>
      </c>
    </row>
    <row r="33" customFormat="false" ht="15" hidden="false" customHeight="false" outlineLevel="0" collapsed="false">
      <c r="A33" s="34" t="str">
        <f aca="false">Data!A33</f>
        <v>Sierra Leone</v>
      </c>
      <c r="B33" s="34" t="str">
        <f aca="false">Data!B33</f>
        <v>SLE</v>
      </c>
      <c r="C33" s="35" t="n">
        <f aca="false">Data!AB33</f>
        <v>1</v>
      </c>
      <c r="D33" s="36" t="n">
        <f aca="false">Data!E33</f>
        <v>0.321957258314931</v>
      </c>
      <c r="E33" s="32" t="n">
        <f aca="false">LN(MIN(0.995,MAX(0.005,D33))/(1-MIN(0.995,MAX(0.005,D33))))</f>
        <v>-0.744791528205309</v>
      </c>
      <c r="F33" s="37" t="n">
        <f aca="false">MIN(Inputs!$D$14,MAX(Inputs!$D$13,(1-Inputs!$D$12)*Inputs!$D$11+Inputs!$D$12*IF(Data!Y33="",Inputs!$D$11,Data!Y33)))</f>
        <v>0.17872706143761</v>
      </c>
      <c r="G33" s="14" t="n">
        <f aca="false">Data!D33*(1+Data!P33/100)^Inputs!$D$8</f>
        <v>5899039.58224854</v>
      </c>
      <c r="H33" s="14" t="n">
        <f aca="false">G33*D33</f>
        <v>1899238.610592</v>
      </c>
      <c r="I33" s="13" t="n">
        <f aca="false">MIN(1/(1+EXP(-(E33+F33*Inputs!$C$16*Inputs!$D$8))),MAX(Inputs!$D$9,D33))</f>
        <v>0.448035727113945</v>
      </c>
      <c r="J33" s="13" t="n">
        <f aca="false">MIN(1/(1+EXP(-(E33+F33*Inputs!$D$16*Inputs!$D$8))),MAX(Inputs!$D$9,D33))</f>
        <v>0.581168207777244</v>
      </c>
      <c r="K33" s="13" t="n">
        <f aca="false">MIN(1/(1+EXP(-(E33+F33*Inputs!$E$16*Inputs!$D$8))),MAX(Inputs!$D$9,D33))</f>
        <v>0.703443963303949</v>
      </c>
      <c r="L33" s="14" t="n">
        <f aca="false">G33*I33</f>
        <v>2642980.48850667</v>
      </c>
      <c r="M33" s="14" t="n">
        <f aca="false">G33*J33</f>
        <v>3428334.26162241</v>
      </c>
      <c r="N33" s="14" t="n">
        <f aca="false">G33*K33</f>
        <v>4149643.78342379</v>
      </c>
      <c r="O33" s="14" t="n">
        <f aca="false">MAX(0,L33-H33)</f>
        <v>743741.877914673</v>
      </c>
      <c r="P33" s="14" t="n">
        <f aca="false">MAX(0,M33-H33)</f>
        <v>1529095.65103041</v>
      </c>
      <c r="Q33" s="14" t="n">
        <f aca="false">MAX(0,N33-H33)</f>
        <v>2250405.17283179</v>
      </c>
    </row>
    <row r="34" customFormat="false" ht="15" hidden="false" customHeight="false" outlineLevel="0" collapsed="false">
      <c r="A34" s="34" t="str">
        <f aca="false">Data!A34</f>
        <v>South Africa</v>
      </c>
      <c r="B34" s="34" t="str">
        <f aca="false">Data!B34</f>
        <v>ZAF</v>
      </c>
      <c r="C34" s="35" t="n">
        <f aca="false">Data!AB34</f>
        <v>1</v>
      </c>
      <c r="D34" s="36" t="n">
        <f aca="false">Data!E34</f>
        <v>0.31623201671299</v>
      </c>
      <c r="E34" s="32" t="n">
        <f aca="false">LN(MIN(0.995,MAX(0.005,D34))/(1-MIN(0.995,MAX(0.005,D34))))</f>
        <v>-0.771142480082277</v>
      </c>
      <c r="F34" s="37" t="n">
        <f aca="false">MIN(Inputs!$D$14,MAX(Inputs!$D$13,(1-Inputs!$D$12)*Inputs!$D$11+Inputs!$D$12*IF(Data!Y34="",Inputs!$D$11,Data!Y34)))</f>
        <v>0.17872706143761</v>
      </c>
      <c r="G34" s="14" t="n">
        <f aca="false">Data!D34*(1+Data!P34/100)^Inputs!$D$8</f>
        <v>50337661.9096923</v>
      </c>
      <c r="H34" s="14" t="n">
        <f aca="false">G34*D34</f>
        <v>15918380.3423186</v>
      </c>
      <c r="I34" s="13" t="n">
        <f aca="false">MIN(1/(1+EXP(-(E34+F34*Inputs!$C$16*Inputs!$D$8))),MAX(Inputs!$D$9,D34))</f>
        <v>0.441528431271041</v>
      </c>
      <c r="J34" s="13" t="n">
        <f aca="false">MIN(1/(1+EXP(-(E34+F34*Inputs!$D$16*Inputs!$D$8))),MAX(Inputs!$D$9,D34))</f>
        <v>0.574740701589818</v>
      </c>
      <c r="K34" s="13" t="n">
        <f aca="false">MIN(1/(1+EXP(-(E34+F34*Inputs!$E$16*Inputs!$D$8))),MAX(Inputs!$D$9,D34))</f>
        <v>0.697917569741714</v>
      </c>
      <c r="L34" s="14" t="n">
        <f aca="false">G34*I34</f>
        <v>22225508.8968385</v>
      </c>
      <c r="M34" s="14" t="n">
        <f aca="false">G34*J34</f>
        <v>28931103.1223676</v>
      </c>
      <c r="N34" s="14" t="n">
        <f aca="false">G34*K34</f>
        <v>35131538.6664925</v>
      </c>
      <c r="O34" s="14" t="n">
        <f aca="false">MAX(0,L34-H34)</f>
        <v>6307128.55451981</v>
      </c>
      <c r="P34" s="14" t="n">
        <f aca="false">MAX(0,M34-H34)</f>
        <v>13012722.7800489</v>
      </c>
      <c r="Q34" s="14" t="n">
        <f aca="false">MAX(0,N34-H34)</f>
        <v>19213158.3241738</v>
      </c>
    </row>
    <row r="35" customFormat="false" ht="15" hidden="false" customHeight="false" outlineLevel="0" collapsed="false">
      <c r="A35" s="34" t="str">
        <f aca="false">Data!A35</f>
        <v>Tanzania</v>
      </c>
      <c r="B35" s="34" t="str">
        <f aca="false">Data!B35</f>
        <v>TZA</v>
      </c>
      <c r="C35" s="35" t="n">
        <f aca="false">Data!AB35</f>
        <v>1</v>
      </c>
      <c r="D35" s="36" t="n">
        <f aca="false">Data!E35</f>
        <v>0.528539837276394</v>
      </c>
      <c r="E35" s="32" t="n">
        <f aca="false">LN(MIN(0.995,MAX(0.005,D35))/(1-MIN(0.995,MAX(0.005,D35))))</f>
        <v>0.114283572483917</v>
      </c>
      <c r="F35" s="37" t="n">
        <f aca="false">MIN(Inputs!$D$14,MAX(Inputs!$D$13,(1-Inputs!$D$12)*Inputs!$D$11+Inputs!$D$12*IF(Data!Y35="",Inputs!$D$11,Data!Y35)))</f>
        <v>0.17872706143761</v>
      </c>
      <c r="G35" s="14" t="n">
        <f aca="false">Data!D35*(1+Data!P35/100)^Inputs!$D$8</f>
        <v>45227545.0144769</v>
      </c>
      <c r="H35" s="14" t="n">
        <f aca="false">G35*D35</f>
        <v>23904559.2823624</v>
      </c>
      <c r="I35" s="13" t="n">
        <f aca="false">MIN(1/(1+EXP(-(E35+F35*Inputs!$C$16*Inputs!$D$8))),MAX(Inputs!$D$9,D35))</f>
        <v>0.657115186911707</v>
      </c>
      <c r="J35" s="13" t="n">
        <f aca="false">MIN(1/(1+EXP(-(E35+F35*Inputs!$D$16*Inputs!$D$8))),MAX(Inputs!$D$9,D35))</f>
        <v>0.766140656862896</v>
      </c>
      <c r="K35" s="13" t="n">
        <f aca="false">MIN(1/(1+EXP(-(E35+F35*Inputs!$E$16*Inputs!$D$8))),MAX(Inputs!$D$9,D35))</f>
        <v>0.848492629657157</v>
      </c>
      <c r="L35" s="14" t="n">
        <f aca="false">G35*I35</f>
        <v>29719706.6957456</v>
      </c>
      <c r="M35" s="14" t="n">
        <f aca="false">G35*J35</f>
        <v>34650661.0456875</v>
      </c>
      <c r="N35" s="14" t="n">
        <f aca="false">G35*K35</f>
        <v>38375238.602271</v>
      </c>
      <c r="O35" s="14" t="n">
        <f aca="false">MAX(0,L35-H35)</f>
        <v>5815147.41338323</v>
      </c>
      <c r="P35" s="14" t="n">
        <f aca="false">MAX(0,M35-H35)</f>
        <v>10746101.7633251</v>
      </c>
      <c r="Q35" s="14" t="n">
        <f aca="false">MAX(0,N35-H35)</f>
        <v>14470679.3199086</v>
      </c>
    </row>
    <row r="36" customFormat="false" ht="15" hidden="false" customHeight="false" outlineLevel="0" collapsed="false">
      <c r="A36" s="34" t="str">
        <f aca="false">Data!A36</f>
        <v>Togo</v>
      </c>
      <c r="B36" s="34" t="str">
        <f aca="false">Data!B36</f>
        <v>TGO</v>
      </c>
      <c r="C36" s="35" t="n">
        <f aca="false">Data!AB36</f>
        <v>1</v>
      </c>
      <c r="D36" s="36" t="n">
        <f aca="false">Data!E36</f>
        <v>0.479918378510191</v>
      </c>
      <c r="E36" s="32" t="n">
        <f aca="false">LN(MIN(0.995,MAX(0.005,D36))/(1-MIN(0.995,MAX(0.005,D36))))</f>
        <v>-0.0803697189890788</v>
      </c>
      <c r="F36" s="37" t="n">
        <f aca="false">MIN(Inputs!$D$14,MAX(Inputs!$D$13,(1-Inputs!$D$12)*Inputs!$D$11+Inputs!$D$12*IF(Data!Y36="",Inputs!$D$11,Data!Y36)))</f>
        <v>0.17872706143761</v>
      </c>
      <c r="G36" s="14" t="n">
        <f aca="false">Data!D36*(1+Data!P36/100)^Inputs!$D$8</f>
        <v>6372709.94946227</v>
      </c>
      <c r="H36" s="14" t="n">
        <f aca="false">G36*D36</f>
        <v>3058380.62566169</v>
      </c>
      <c r="I36" s="13" t="n">
        <f aca="false">MIN(1/(1+EXP(-(E36+F36*Inputs!$C$16*Inputs!$D$8))),MAX(Inputs!$D$9,D36))</f>
        <v>0.612020070169247</v>
      </c>
      <c r="J36" s="13" t="n">
        <f aca="false">MIN(1/(1+EXP(-(E36+F36*Inputs!$D$16*Inputs!$D$8))),MAX(Inputs!$D$9,D36))</f>
        <v>0.729481328245767</v>
      </c>
      <c r="K36" s="13" t="n">
        <f aca="false">MIN(1/(1+EXP(-(E36+F36*Inputs!$E$16*Inputs!$D$8))),MAX(Inputs!$D$9,D36))</f>
        <v>0.821738967192162</v>
      </c>
      <c r="L36" s="14" t="n">
        <f aca="false">G36*I36</f>
        <v>3900226.39043816</v>
      </c>
      <c r="M36" s="14" t="n">
        <f aca="false">G36*J36</f>
        <v>4648772.91845875</v>
      </c>
      <c r="N36" s="14" t="n">
        <f aca="false">G36*K36</f>
        <v>5236704.09208634</v>
      </c>
      <c r="O36" s="14" t="n">
        <f aca="false">MAX(0,L36-H36)</f>
        <v>841845.764776464</v>
      </c>
      <c r="P36" s="14" t="n">
        <f aca="false">MAX(0,M36-H36)</f>
        <v>1590392.29279706</v>
      </c>
      <c r="Q36" s="14" t="n">
        <f aca="false">MAX(0,N36-H36)</f>
        <v>2178323.46642465</v>
      </c>
    </row>
    <row r="37" customFormat="false" ht="15" hidden="false" customHeight="false" outlineLevel="0" collapsed="false">
      <c r="A37" s="34" t="str">
        <f aca="false">Data!A37</f>
        <v>Uganda</v>
      </c>
      <c r="B37" s="34" t="str">
        <f aca="false">Data!B37</f>
        <v>UGA</v>
      </c>
      <c r="C37" s="35" t="n">
        <f aca="false">Data!AB37</f>
        <v>1</v>
      </c>
      <c r="D37" s="36" t="n">
        <f aca="false">Data!E37</f>
        <v>0.677382954204934</v>
      </c>
      <c r="E37" s="32" t="n">
        <f aca="false">LN(MIN(0.995,MAX(0.005,D37))/(1-MIN(0.995,MAX(0.005,D37))))</f>
        <v>0.741770773418204</v>
      </c>
      <c r="F37" s="37" t="n">
        <f aca="false">MIN(Inputs!$D$14,MAX(Inputs!$D$13,(1-Inputs!$D$12)*Inputs!$D$11+Inputs!$D$12*IF(Data!Y37="",Inputs!$D$11,Data!Y37)))</f>
        <v>0.17872706143761</v>
      </c>
      <c r="G37" s="14" t="n">
        <f aca="false">Data!D37*(1+Data!P37/100)^Inputs!$D$8</f>
        <v>32106687.4711525</v>
      </c>
      <c r="H37" s="14" t="n">
        <f aca="false">G37*D37</f>
        <v>21748522.8089438</v>
      </c>
      <c r="I37" s="13" t="n">
        <f aca="false">MIN(1/(1+EXP(-(E37+F37*Inputs!$C$16*Inputs!$D$8))),MAX(Inputs!$D$9,D37))</f>
        <v>0.782100952656624</v>
      </c>
      <c r="J37" s="13" t="n">
        <f aca="false">MIN(1/(1+EXP(-(E37+F37*Inputs!$D$16*Inputs!$D$8))),MAX(Inputs!$D$9,D37))</f>
        <v>0.859860660305404</v>
      </c>
      <c r="K37" s="13" t="n">
        <f aca="false">MIN(1/(1+EXP(-(E37+F37*Inputs!$E$16*Inputs!$D$8))),MAX(Inputs!$D$9,D37))</f>
        <v>0.912959208649287</v>
      </c>
      <c r="L37" s="14" t="n">
        <f aca="false">G37*I37</f>
        <v>25110670.8578368</v>
      </c>
      <c r="M37" s="14" t="n">
        <f aca="false">G37*J37</f>
        <v>27607277.4891644</v>
      </c>
      <c r="N37" s="14" t="n">
        <f aca="false">G37*K37</f>
        <v>29312095.9860133</v>
      </c>
      <c r="O37" s="14" t="n">
        <f aca="false">MAX(0,L37-H37)</f>
        <v>3362148.04889303</v>
      </c>
      <c r="P37" s="14" t="n">
        <f aca="false">MAX(0,M37-H37)</f>
        <v>5858754.68022061</v>
      </c>
      <c r="Q37" s="14" t="n">
        <f aca="false">MAX(0,N37-H37)</f>
        <v>7563573.17706953</v>
      </c>
    </row>
    <row r="38" customFormat="false" ht="15" hidden="false" customHeight="false" outlineLevel="0" collapsed="false">
      <c r="A38" s="34" t="str">
        <f aca="false">Data!A38</f>
        <v>Zambia</v>
      </c>
      <c r="B38" s="34" t="str">
        <f aca="false">Data!B38</f>
        <v>ZMB</v>
      </c>
      <c r="C38" s="35" t="n">
        <f aca="false">Data!AB38</f>
        <v>1</v>
      </c>
      <c r="D38" s="36" t="n">
        <f aca="false">Data!E38</f>
        <v>0.693107512524696</v>
      </c>
      <c r="E38" s="32" t="n">
        <f aca="false">LN(MIN(0.995,MAX(0.005,D38))/(1-MIN(0.995,MAX(0.005,D38))))</f>
        <v>0.814687645297033</v>
      </c>
      <c r="F38" s="37" t="n">
        <f aca="false">MIN(Inputs!$D$14,MAX(Inputs!$D$13,(1-Inputs!$D$12)*Inputs!$D$11+Inputs!$D$12*IF(Data!Y38="",Inputs!$D$11,Data!Y38)))</f>
        <v>0.17872706143761</v>
      </c>
      <c r="G38" s="14" t="n">
        <f aca="false">Data!D38*(1+Data!P38/100)^Inputs!$D$8</f>
        <v>14206761.6533448</v>
      </c>
      <c r="H38" s="14" t="n">
        <f aca="false">G38*D38</f>
        <v>9846813.23058108</v>
      </c>
      <c r="I38" s="13" t="n">
        <f aca="false">MIN(1/(1+EXP(-(E38+F38*Inputs!$C$16*Inputs!$D$8))),MAX(Inputs!$D$9,D38))</f>
        <v>0.794271634908829</v>
      </c>
      <c r="J38" s="13" t="n">
        <f aca="false">MIN(1/(1+EXP(-(E38+F38*Inputs!$D$16*Inputs!$D$8))),MAX(Inputs!$D$9,D38))</f>
        <v>0.868418808991319</v>
      </c>
      <c r="K38" s="13" t="n">
        <f aca="false">MIN(1/(1+EXP(-(E38+F38*Inputs!$E$16*Inputs!$D$8))),MAX(Inputs!$D$9,D38))</f>
        <v>0.918581730785402</v>
      </c>
      <c r="L38" s="14" t="n">
        <f aca="false">G38*I38</f>
        <v>11284027.8051623</v>
      </c>
      <c r="M38" s="14" t="n">
        <f aca="false">G38*J38</f>
        <v>12337419.0346213</v>
      </c>
      <c r="N38" s="14" t="n">
        <f aca="false">G38*K38</f>
        <v>13050071.7083852</v>
      </c>
      <c r="O38" s="14" t="n">
        <f aca="false">MAX(0,L38-H38)</f>
        <v>1437214.57458119</v>
      </c>
      <c r="P38" s="14" t="n">
        <f aca="false">MAX(0,M38-H38)</f>
        <v>2490605.80404019</v>
      </c>
      <c r="Q38" s="14" t="n">
        <f aca="false">MAX(0,N38-H38)</f>
        <v>3203258.4778041</v>
      </c>
    </row>
    <row r="39" customFormat="false" ht="15" hidden="false" customHeight="false" outlineLevel="0" collapsed="false">
      <c r="A39" s="34" t="str">
        <f aca="false">Data!A39</f>
        <v>Zimbabwe</v>
      </c>
      <c r="B39" s="34" t="str">
        <f aca="false">Data!B39</f>
        <v>ZWE</v>
      </c>
      <c r="C39" s="35" t="n">
        <f aca="false">Data!AB39</f>
        <v>1</v>
      </c>
      <c r="D39" s="36" t="n">
        <f aca="false">Data!E39</f>
        <v>0.433317368740992</v>
      </c>
      <c r="E39" s="32" t="n">
        <f aca="false">LN(MIN(0.995,MAX(0.005,D39))/(1-MIN(0.995,MAX(0.005,D39))))</f>
        <v>-0.268329001053449</v>
      </c>
      <c r="F39" s="37" t="n">
        <f aca="false">MIN(Inputs!$D$14,MAX(Inputs!$D$13,(1-Inputs!$D$12)*Inputs!$D$11+Inputs!$D$12*IF(Data!Y39="",Inputs!$D$11,Data!Y39)))</f>
        <v>0.17872706143761</v>
      </c>
      <c r="G39" s="14" t="n">
        <f aca="false">Data!D39*(1+Data!P39/100)^Inputs!$D$8</f>
        <v>10659252.2153093</v>
      </c>
      <c r="H39" s="14" t="n">
        <f aca="false">G39*D39</f>
        <v>4618839.12268443</v>
      </c>
      <c r="I39" s="13" t="n">
        <f aca="false">MIN(1/(1+EXP(-(E39+F39*Inputs!$C$16*Inputs!$D$8))),MAX(Inputs!$D$9,D39))</f>
        <v>0.566565543295121</v>
      </c>
      <c r="J39" s="13" t="n">
        <f aca="false">MIN(1/(1+EXP(-(E39+F39*Inputs!$D$16*Inputs!$D$8))),MAX(Inputs!$D$9,D39))</f>
        <v>0.690836595808105</v>
      </c>
      <c r="K39" s="13" t="n">
        <f aca="false">MIN(1/(1+EXP(-(E39+F39*Inputs!$E$16*Inputs!$D$8))),MAX(Inputs!$D$9,D39))</f>
        <v>0.792525222205213</v>
      </c>
      <c r="L39" s="14" t="n">
        <f aca="false">G39*I39</f>
        <v>6039165.02248646</v>
      </c>
      <c r="M39" s="14" t="n">
        <f aca="false">G39*J39</f>
        <v>7363801.5142843</v>
      </c>
      <c r="N39" s="14" t="n">
        <f aca="false">G39*K39</f>
        <v>8447726.23047944</v>
      </c>
      <c r="O39" s="14" t="n">
        <f aca="false">MAX(0,L39-H39)</f>
        <v>1420325.89980202</v>
      </c>
      <c r="P39" s="14" t="n">
        <f aca="false">MAX(0,M39-H39)</f>
        <v>2744962.39159987</v>
      </c>
      <c r="Q39" s="14" t="n">
        <f aca="false">MAX(0,N39-H39)</f>
        <v>3828887.10779501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1F5E"/>
    <pageSetUpPr fitToPage="false"/>
  </sheetPr>
  <dimension ref="A1:V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7"/>
    <col collapsed="false" customWidth="true" hidden="false" outlineLevel="0" max="3" min="3" style="0" width="10"/>
    <col collapsed="false" customWidth="true" hidden="false" outlineLevel="0" max="22" min="4" style="0" width="13"/>
  </cols>
  <sheetData>
    <row r="1" customFormat="false" ht="17.35" hidden="false" customHeight="false" outlineLevel="0" collapsed="false">
      <c r="A1" s="1" t="s">
        <v>302</v>
      </c>
    </row>
    <row r="2" customFormat="false" ht="15" hidden="false" customHeight="false" outlineLevel="0" collapsed="false">
      <c r="A2" s="2" t="s">
        <v>303</v>
      </c>
    </row>
    <row r="5" customFormat="false" ht="69.75" hidden="false" customHeight="true" outlineLevel="0" collapsed="false">
      <c r="A5" s="9" t="s">
        <v>189</v>
      </c>
      <c r="B5" s="9" t="s">
        <v>37</v>
      </c>
      <c r="C5" s="9" t="s">
        <v>215</v>
      </c>
      <c r="D5" s="9" t="s">
        <v>304</v>
      </c>
      <c r="E5" s="9" t="s">
        <v>305</v>
      </c>
      <c r="F5" s="9" t="s">
        <v>306</v>
      </c>
      <c r="G5" s="9" t="s">
        <v>307</v>
      </c>
      <c r="H5" s="9" t="s">
        <v>308</v>
      </c>
      <c r="I5" s="9" t="s">
        <v>309</v>
      </c>
      <c r="J5" s="9" t="s">
        <v>310</v>
      </c>
      <c r="K5" s="9" t="s">
        <v>311</v>
      </c>
      <c r="L5" s="9" t="s">
        <v>312</v>
      </c>
      <c r="M5" s="9" t="s">
        <v>313</v>
      </c>
      <c r="N5" s="9" t="s">
        <v>314</v>
      </c>
      <c r="O5" s="9" t="s">
        <v>315</v>
      </c>
      <c r="P5" s="9" t="s">
        <v>316</v>
      </c>
      <c r="Q5" s="9" t="s">
        <v>317</v>
      </c>
      <c r="R5" s="9" t="s">
        <v>318</v>
      </c>
      <c r="S5" s="9" t="s">
        <v>319</v>
      </c>
      <c r="T5" s="9" t="s">
        <v>320</v>
      </c>
      <c r="U5" s="9" t="s">
        <v>321</v>
      </c>
      <c r="V5" s="9" t="s">
        <v>322</v>
      </c>
    </row>
    <row r="6" customFormat="false" ht="15" hidden="false" customHeight="false" outlineLevel="0" collapsed="false">
      <c r="A6" s="34" t="str">
        <f aca="false">Data!A6</f>
        <v>Benin</v>
      </c>
      <c r="B6" s="34" t="str">
        <f aca="false">Data!B6</f>
        <v>BEN</v>
      </c>
      <c r="C6" s="35" t="n">
        <f aca="false">Data!AB6</f>
        <v>1</v>
      </c>
      <c r="D6" s="32" t="n">
        <f aca="false">MIN(Inputs!$D$24,MAX(Inputs!$D$23,(Data!J6/Inputs!$D$65)^Inputs!$D$22))</f>
        <v>0.868236780578876</v>
      </c>
      <c r="E6" s="32" t="n">
        <f aca="false">MIN(1,Data!E6/Data!F6)</f>
        <v>0.865549323990162</v>
      </c>
      <c r="F6" s="32" t="n">
        <f aca="false">MIN(Inputs!$D$27,MAX(Inputs!$D$26,(E6/Inputs!$D$66)^Inputs!$D$25))</f>
        <v>0.89147152448428</v>
      </c>
      <c r="G6" s="32" t="n">
        <f aca="false">MIN(Inputs!$D$37,MAX(Inputs!$D$36,(Data!D6/Inputs!$D$34)^Inputs!$D$35))</f>
        <v>0.700281160782888</v>
      </c>
      <c r="H6" s="11" t="n">
        <f aca="false">Inputs!$C$17*D6*F6</f>
        <v>11.6101254959396</v>
      </c>
      <c r="I6" s="11" t="n">
        <f aca="false">Inputs!$D$17*D6*F6</f>
        <v>19.3502091598993</v>
      </c>
      <c r="J6" s="11" t="n">
        <f aca="false">Inputs!$E$17*D6*F6</f>
        <v>24.7682677246712</v>
      </c>
      <c r="K6" s="11" t="n">
        <f aca="false">Forecast!L6*H6/1000000</f>
        <v>64.1548736198596</v>
      </c>
      <c r="L6" s="11" t="n">
        <f aca="false">Forecast!M6*I6/1000000</f>
        <v>129.377089399958</v>
      </c>
      <c r="M6" s="11" t="n">
        <f aca="false">Forecast!N6*J6/1000000</f>
        <v>188.793057588075</v>
      </c>
      <c r="N6" s="14" t="n">
        <f aca="false">Inputs!$C$19*Forecast!H6+Inputs!$C$18*Forecast!O6</f>
        <v>165062.127377072</v>
      </c>
      <c r="O6" s="14" t="n">
        <f aca="false">Inputs!$D$19*Forecast!H6+Inputs!$D$18*Forecast!P6</f>
        <v>491528.812481931</v>
      </c>
      <c r="P6" s="14" t="n">
        <f aca="false">Inputs!$E$19*Forecast!H6+Inputs!$E$18*Forecast!Q6</f>
        <v>952462.804931693</v>
      </c>
      <c r="Q6" s="11" t="n">
        <f aca="false">N6*H6/1000000</f>
        <v>1.91639201347457</v>
      </c>
      <c r="R6" s="11" t="n">
        <f aca="false">O6*I6/1000000</f>
        <v>9.5111853296423</v>
      </c>
      <c r="S6" s="11" t="n">
        <f aca="false">P6*J6/1000000</f>
        <v>23.5908537503394</v>
      </c>
      <c r="T6" s="11" t="n">
        <f aca="false">Data!D6*Data!E6*I6/1000000</f>
        <v>71.2656809574823</v>
      </c>
      <c r="U6" s="13" t="n">
        <f aca="false">(L6/T6)^(1/Inputs!$D$8)-1</f>
        <v>0.104492631541455</v>
      </c>
      <c r="V6" s="38" t="n">
        <f aca="false">R6*Inputs!$D$29/(Inputs!$D$30*G6)</f>
        <v>0.565914679601045</v>
      </c>
    </row>
    <row r="7" customFormat="false" ht="15" hidden="false" customHeight="false" outlineLevel="0" collapsed="false">
      <c r="A7" s="34" t="str">
        <f aca="false">Data!A7</f>
        <v>Botswana</v>
      </c>
      <c r="B7" s="34" t="str">
        <f aca="false">Data!B7</f>
        <v>BWA</v>
      </c>
      <c r="C7" s="35" t="n">
        <f aca="false">Data!AB7</f>
        <v>0</v>
      </c>
      <c r="D7" s="32" t="n">
        <f aca="false">MIN(Inputs!$D$24,MAX(Inputs!$D$23,(Data!J7/Inputs!$D$65)^Inputs!$D$22))</f>
        <v>1.3</v>
      </c>
      <c r="E7" s="32" t="n">
        <f aca="false">MIN(1,Data!E7/Data!F7)</f>
        <v>0.840154654233764</v>
      </c>
      <c r="F7" s="32" t="n">
        <f aca="false">MIN(Inputs!$D$27,MAX(Inputs!$D$26,(E7/Inputs!$D$66)^Inputs!$D$25))</f>
        <v>0.865316313759664</v>
      </c>
      <c r="G7" s="32" t="n">
        <f aca="false">MIN(Inputs!$D$37,MAX(Inputs!$D$36,(Data!D7/Inputs!$D$34)^Inputs!$D$35))</f>
        <v>0.6</v>
      </c>
      <c r="H7" s="11" t="n">
        <f aca="false">Inputs!$C$17*D7*F7</f>
        <v>16.8736681183134</v>
      </c>
      <c r="I7" s="11" t="n">
        <f aca="false">Inputs!$D$17*D7*F7</f>
        <v>28.1227801971891</v>
      </c>
      <c r="J7" s="11" t="n">
        <f aca="false">Inputs!$E$17*D7*F7</f>
        <v>35.997158652402</v>
      </c>
      <c r="K7" s="11" t="n">
        <f aca="false">Forecast!L7*H7/1000000</f>
        <v>20.1755211467427</v>
      </c>
      <c r="L7" s="11" t="n">
        <f aca="false">Forecast!M7*I7/1000000</f>
        <v>39.4194868065731</v>
      </c>
      <c r="M7" s="11" t="n">
        <f aca="false">Forecast!N7*J7/1000000</f>
        <v>56.1125011039115</v>
      </c>
      <c r="N7" s="14" t="n">
        <f aca="false">Inputs!$C$19*Forecast!H7+Inputs!$C$18*Forecast!O7</f>
        <v>33540.9854558395</v>
      </c>
      <c r="O7" s="14" t="n">
        <f aca="false">Inputs!$D$19*Forecast!H7+Inputs!$D$18*Forecast!P7</f>
        <v>95582.818888457</v>
      </c>
      <c r="P7" s="14" t="n">
        <f aca="false">Inputs!$E$19*Forecast!H7+Inputs!$E$18*Forecast!Q7</f>
        <v>180486.157629895</v>
      </c>
      <c r="Q7" s="11" t="n">
        <f aca="false">N7*H7/1000000</f>
        <v>0.565959456943015</v>
      </c>
      <c r="R7" s="11" t="n">
        <f aca="false">O7*I7/1000000</f>
        <v>2.68805460622781</v>
      </c>
      <c r="S7" s="11" t="n">
        <f aca="false">P7*J7/1000000</f>
        <v>6.49698885076575</v>
      </c>
      <c r="T7" s="11" t="n">
        <f aca="false">Data!D7*Data!E7*I7/1000000</f>
        <v>24.3815412542933</v>
      </c>
      <c r="U7" s="13" t="n">
        <f aca="false">(L7/T7)^(1/Inputs!$D$8)-1</f>
        <v>0.0833654179818901</v>
      </c>
      <c r="V7" s="38" t="n">
        <f aca="false">R7*Inputs!$D$29/(Inputs!$D$30*G7)</f>
        <v>0.18667045876582</v>
      </c>
    </row>
    <row r="8" customFormat="false" ht="15" hidden="false" customHeight="false" outlineLevel="0" collapsed="false">
      <c r="A8" s="34" t="str">
        <f aca="false">Data!A8</f>
        <v>Burkina Faso</v>
      </c>
      <c r="B8" s="34" t="str">
        <f aca="false">Data!B8</f>
        <v>BFA</v>
      </c>
      <c r="C8" s="35" t="n">
        <f aca="false">Data!AB8</f>
        <v>1</v>
      </c>
      <c r="D8" s="32" t="n">
        <f aca="false">MIN(Inputs!$D$24,MAX(Inputs!$D$23,(Data!J8/Inputs!$D$65)^Inputs!$D$22))</f>
        <v>0.748020793255983</v>
      </c>
      <c r="E8" s="32" t="n">
        <f aca="false">MIN(1,Data!E8/Data!F8)</f>
        <v>0.858633449267359</v>
      </c>
      <c r="F8" s="32" t="n">
        <f aca="false">MIN(Inputs!$D$27,MAX(Inputs!$D$26,(E8/Inputs!$D$66)^Inputs!$D$25))</f>
        <v>0.884348527317744</v>
      </c>
      <c r="G8" s="32" t="n">
        <f aca="false">MIN(Inputs!$D$37,MAX(Inputs!$D$36,(Data!D8/Inputs!$D$34)^Inputs!$D$35))</f>
        <v>0.848474796591227</v>
      </c>
      <c r="H8" s="11" t="n">
        <f aca="false">Inputs!$C$17*D8*F8</f>
        <v>9.92266630378468</v>
      </c>
      <c r="I8" s="11" t="n">
        <f aca="false">Inputs!$D$17*D8*F8</f>
        <v>16.5377771729745</v>
      </c>
      <c r="J8" s="11" t="n">
        <f aca="false">Inputs!$E$17*D8*F8</f>
        <v>21.1683547814073</v>
      </c>
      <c r="K8" s="11" t="n">
        <f aca="false">Forecast!L8*H8/1000000</f>
        <v>86.4249115975082</v>
      </c>
      <c r="L8" s="11" t="n">
        <f aca="false">Forecast!M8*I8/1000000</f>
        <v>174.908156956075</v>
      </c>
      <c r="M8" s="11" t="n">
        <f aca="false">Forecast!N8*J8/1000000</f>
        <v>255.969449831835</v>
      </c>
      <c r="N8" s="14" t="n">
        <f aca="false">Inputs!$C$19*Forecast!H8+Inputs!$C$18*Forecast!O8</f>
        <v>261855.930699411</v>
      </c>
      <c r="O8" s="14" t="n">
        <f aca="false">Inputs!$D$19*Forecast!H8+Inputs!$D$18*Forecast!P8</f>
        <v>783490.791976542</v>
      </c>
      <c r="P8" s="14" t="n">
        <f aca="false">Inputs!$E$19*Forecast!H8+Inputs!$E$18*Forecast!Q8</f>
        <v>1522743.56044935</v>
      </c>
      <c r="Q8" s="11" t="n">
        <f aca="false">N8*H8/1000000</f>
        <v>2.59830901999722</v>
      </c>
      <c r="R8" s="11" t="n">
        <f aca="false">O8*I8/1000000</f>
        <v>12.9571961347853</v>
      </c>
      <c r="S8" s="11" t="n">
        <f aca="false">P8*J8/1000000</f>
        <v>32.2339759286953</v>
      </c>
      <c r="T8" s="11" t="n">
        <f aca="false">Data!D8*Data!E8*I8/1000000</f>
        <v>96.8517872105931</v>
      </c>
      <c r="U8" s="13" t="n">
        <f aca="false">(L8/T8)^(1/Inputs!$D$8)-1</f>
        <v>0.10352896641035</v>
      </c>
      <c r="V8" s="38" t="n">
        <f aca="false">R8*Inputs!$D$29/(Inputs!$D$30*G8)</f>
        <v>0.636298419766527</v>
      </c>
    </row>
    <row r="9" customFormat="false" ht="15" hidden="false" customHeight="false" outlineLevel="0" collapsed="false">
      <c r="A9" s="34" t="str">
        <f aca="false">Data!A9</f>
        <v>Cameroon</v>
      </c>
      <c r="B9" s="34" t="str">
        <f aca="false">Data!B9</f>
        <v>CMR</v>
      </c>
      <c r="C9" s="35" t="n">
        <f aca="false">Data!AB9</f>
        <v>1</v>
      </c>
      <c r="D9" s="32" t="n">
        <f aca="false">MIN(Inputs!$D$24,MAX(Inputs!$D$23,(Data!J9/Inputs!$D$65)^Inputs!$D$22))</f>
        <v>0.941470936532481</v>
      </c>
      <c r="E9" s="32" t="n">
        <f aca="false">MIN(1,Data!E9/Data!F9)</f>
        <v>0.90458391150461</v>
      </c>
      <c r="F9" s="32" t="n">
        <f aca="false">MIN(Inputs!$D$27,MAX(Inputs!$D$26,(E9/Inputs!$D$66)^Inputs!$D$25))</f>
        <v>0.93167515271739</v>
      </c>
      <c r="G9" s="32" t="n">
        <f aca="false">MIN(Inputs!$D$37,MAX(Inputs!$D$36,(Data!D9/Inputs!$D$34)^Inputs!$D$35))</f>
        <v>0.926477945425402</v>
      </c>
      <c r="H9" s="11" t="n">
        <f aca="false">Inputs!$C$17*D9*F9</f>
        <v>13.1571761785932</v>
      </c>
      <c r="I9" s="11" t="n">
        <f aca="false">Inputs!$D$17*D9*F9</f>
        <v>21.9286269643221</v>
      </c>
      <c r="J9" s="11" t="n">
        <f aca="false">Inputs!$E$17*D9*F9</f>
        <v>28.0686425143323</v>
      </c>
      <c r="K9" s="11" t="n">
        <f aca="false">Forecast!L9*H9/1000000</f>
        <v>171.791653692456</v>
      </c>
      <c r="L9" s="11" t="n">
        <f aca="false">Forecast!M9*I9/1000000</f>
        <v>330.660892855861</v>
      </c>
      <c r="M9" s="11" t="n">
        <f aca="false">Forecast!N9*J9/1000000</f>
        <v>465.409152850287</v>
      </c>
      <c r="N9" s="14" t="n">
        <f aca="false">Inputs!$C$19*Forecast!H9+Inputs!$C$18*Forecast!O9</f>
        <v>354125.262184462</v>
      </c>
      <c r="O9" s="14" t="n">
        <f aca="false">Inputs!$D$19*Forecast!H9+Inputs!$D$18*Forecast!P9</f>
        <v>987213.192441972</v>
      </c>
      <c r="P9" s="14" t="n">
        <f aca="false">Inputs!$E$19*Forecast!H9+Inputs!$E$18*Forecast!Q9</f>
        <v>1842116.42955859</v>
      </c>
      <c r="Q9" s="11" t="n">
        <f aca="false">N9*H9/1000000</f>
        <v>4.65928846385149</v>
      </c>
      <c r="R9" s="11" t="n">
        <f aca="false">O9*I9/1000000</f>
        <v>21.6482298313175</v>
      </c>
      <c r="S9" s="11" t="n">
        <f aca="false">P9*J9/1000000</f>
        <v>51.7057075310582</v>
      </c>
      <c r="T9" s="11" t="n">
        <f aca="false">Data!D9*Data!E9*I9/1000000</f>
        <v>199.530070637486</v>
      </c>
      <c r="U9" s="13" t="n">
        <f aca="false">(L9/T9)^(1/Inputs!$D$8)-1</f>
        <v>0.0878334602126039</v>
      </c>
      <c r="V9" s="38" t="n">
        <f aca="false">R9*Inputs!$D$29/(Inputs!$D$30*G9)</f>
        <v>0.973589906547348</v>
      </c>
    </row>
    <row r="10" customFormat="false" ht="15" hidden="false" customHeight="false" outlineLevel="0" collapsed="false">
      <c r="A10" s="34" t="str">
        <f aca="false">Data!A10</f>
        <v>Chad</v>
      </c>
      <c r="B10" s="34" t="str">
        <f aca="false">Data!B10</f>
        <v>TCD</v>
      </c>
      <c r="C10" s="35" t="n">
        <f aca="false">Data!AB10</f>
        <v>1</v>
      </c>
      <c r="D10" s="32" t="n">
        <f aca="false">MIN(Inputs!$D$24,MAX(Inputs!$D$23,(Data!J10/Inputs!$D$65)^Inputs!$D$22))</f>
        <v>0.735735883961407</v>
      </c>
      <c r="E10" s="32" t="n">
        <f aca="false">MIN(1,Data!E10/Data!F10)</f>
        <v>0.638131148653199</v>
      </c>
      <c r="F10" s="32" t="n">
        <f aca="false">MIN(Inputs!$D$27,MAX(Inputs!$D$26,(E10/Inputs!$D$66)^Inputs!$D$25))</f>
        <v>0.657242438002572</v>
      </c>
      <c r="G10" s="32" t="n">
        <f aca="false">MIN(Inputs!$D$37,MAX(Inputs!$D$36,(Data!D10/Inputs!$D$34)^Inputs!$D$35))</f>
        <v>0.766570541509617</v>
      </c>
      <c r="H10" s="11" t="n">
        <f aca="false">Inputs!$C$17*D10*F10</f>
        <v>7.25335269151159</v>
      </c>
      <c r="I10" s="11" t="n">
        <f aca="false">Inputs!$D$17*D10*F10</f>
        <v>12.0889211525193</v>
      </c>
      <c r="J10" s="11" t="n">
        <f aca="false">Inputs!$E$17*D10*F10</f>
        <v>15.4738190752247</v>
      </c>
      <c r="K10" s="11" t="n">
        <f aca="false">Forecast!L10*H10/1000000</f>
        <v>20.7696454363317</v>
      </c>
      <c r="L10" s="11" t="n">
        <f aca="false">Forecast!M10*I10/1000000</f>
        <v>51.5570079685938</v>
      </c>
      <c r="M10" s="11" t="n">
        <f aca="false">Forecast!N10*J10/1000000</f>
        <v>92.4640669259918</v>
      </c>
      <c r="N10" s="14" t="n">
        <f aca="false">Inputs!$C$19*Forecast!H10+Inputs!$C$18*Forecast!O10</f>
        <v>109896.195572289</v>
      </c>
      <c r="O10" s="14" t="n">
        <f aca="false">Inputs!$D$19*Forecast!H10+Inputs!$D$18*Forecast!P10</f>
        <v>419697.277099274</v>
      </c>
      <c r="P10" s="14" t="n">
        <f aca="false">Inputs!$E$19*Forecast!H10+Inputs!$E$18*Forecast!Q10</f>
        <v>1002911.74196223</v>
      </c>
      <c r="Q10" s="11" t="n">
        <f aca="false">N10*H10/1000000</f>
        <v>0.797115865941148</v>
      </c>
      <c r="R10" s="11" t="n">
        <f aca="false">O10*I10/1000000</f>
        <v>5.07368729078018</v>
      </c>
      <c r="S10" s="11" t="n">
        <f aca="false">P10*J10/1000000</f>
        <v>15.5188748435421</v>
      </c>
      <c r="T10" s="11" t="n">
        <f aca="false">Data!D10*Data!E10*I10/1000000</f>
        <v>16.5889922386324</v>
      </c>
      <c r="U10" s="13" t="n">
        <f aca="false">(L10/T10)^(1/Inputs!$D$8)-1</f>
        <v>0.208030641706123</v>
      </c>
      <c r="V10" s="38" t="n">
        <f aca="false">R10*Inputs!$D$29/(Inputs!$D$30*G10)</f>
        <v>0.275778451777603</v>
      </c>
    </row>
    <row r="11" customFormat="false" ht="15" hidden="false" customHeight="false" outlineLevel="0" collapsed="false">
      <c r="A11" s="34" t="str">
        <f aca="false">Data!A11</f>
        <v>Comoros</v>
      </c>
      <c r="B11" s="34" t="str">
        <f aca="false">Data!B11</f>
        <v>COM</v>
      </c>
      <c r="C11" s="35" t="n">
        <f aca="false">Data!AB11</f>
        <v>0</v>
      </c>
      <c r="D11" s="32" t="n">
        <f aca="false">MIN(Inputs!$D$24,MAX(Inputs!$D$23,(Data!J11/Inputs!$D$65)^Inputs!$D$22))</f>
        <v>0.840527941650238</v>
      </c>
      <c r="E11" s="32" t="n">
        <f aca="false">MIN(1,Data!E11/Data!F11)</f>
        <v>0.310030205911023</v>
      </c>
      <c r="F11" s="32" t="n">
        <f aca="false">MIN(Inputs!$D$27,MAX(Inputs!$D$26,(E11/Inputs!$D$66)^Inputs!$D$25))</f>
        <v>0.319315251758912</v>
      </c>
      <c r="G11" s="32" t="n">
        <f aca="false">MIN(Inputs!$D$37,MAX(Inputs!$D$36,(Data!D11/Inputs!$D$34)^Inputs!$D$35))</f>
        <v>0.6</v>
      </c>
      <c r="H11" s="11" t="n">
        <f aca="false">Inputs!$C$17*D11*F11</f>
        <v>4.02590086947669</v>
      </c>
      <c r="I11" s="11" t="n">
        <f aca="false">Inputs!$D$17*D11*F11</f>
        <v>6.70983478246115</v>
      </c>
      <c r="J11" s="11" t="n">
        <f aca="false">Inputs!$E$17*D11*F11</f>
        <v>8.58858852155028</v>
      </c>
      <c r="K11" s="11" t="n">
        <f aca="false">Forecast!L11*H11/1000000</f>
        <v>0.525267066211691</v>
      </c>
      <c r="L11" s="11" t="n">
        <f aca="false">Forecast!M11*I11/1000000</f>
        <v>1.29526844615486</v>
      </c>
      <c r="M11" s="11" t="n">
        <f aca="false">Forecast!N11*J11/1000000</f>
        <v>2.30439122512992</v>
      </c>
      <c r="N11" s="14" t="n">
        <f aca="false">Inputs!$C$19*Forecast!H11+Inputs!$C$18*Forecast!O11</f>
        <v>4980.69221649607</v>
      </c>
      <c r="O11" s="14" t="n">
        <f aca="false">Inputs!$D$19*Forecast!H11+Inputs!$D$18*Forecast!P11</f>
        <v>18881.4666659055</v>
      </c>
      <c r="P11" s="14" t="n">
        <f aca="false">Inputs!$E$19*Forecast!H11+Inputs!$E$18*Forecast!Q11</f>
        <v>44755.5510084273</v>
      </c>
      <c r="Q11" s="11" t="n">
        <f aca="false">N11*H11/1000000</f>
        <v>0.0200517731249873</v>
      </c>
      <c r="R11" s="11" t="n">
        <f aca="false">O11*I11/1000000</f>
        <v>0.126691521778773</v>
      </c>
      <c r="S11" s="11" t="n">
        <f aca="false">P11*J11/1000000</f>
        <v>0.384387011666637</v>
      </c>
      <c r="T11" s="11" t="n">
        <f aca="false">Data!D11*Data!E11*I11/1000000</f>
        <v>0.503409338629612</v>
      </c>
      <c r="U11" s="13" t="n">
        <f aca="false">(L11/T11)^(1/Inputs!$D$8)-1</f>
        <v>0.170594339399553</v>
      </c>
      <c r="V11" s="38" t="n">
        <f aca="false">R11*Inputs!$D$29/(Inputs!$D$30*G11)</f>
        <v>0.00879802234574815</v>
      </c>
    </row>
    <row r="12" customFormat="false" ht="15" hidden="false" customHeight="false" outlineLevel="0" collapsed="false">
      <c r="A12" s="34" t="str">
        <f aca="false">Data!A12</f>
        <v>Congo, Dem. Rep.</v>
      </c>
      <c r="B12" s="34" t="str">
        <f aca="false">Data!B12</f>
        <v>COD</v>
      </c>
      <c r="C12" s="35" t="n">
        <f aca="false">Data!AB12</f>
        <v>1</v>
      </c>
      <c r="D12" s="32" t="n">
        <f aca="false">MIN(Inputs!$D$24,MAX(Inputs!$D$23,(Data!J12/Inputs!$D$65)^Inputs!$D$22))</f>
        <v>0.635796584049561</v>
      </c>
      <c r="E12" s="32" t="n">
        <f aca="false">MIN(1,Data!E12/Data!F12)</f>
        <v>0.895553335442012</v>
      </c>
      <c r="F12" s="32" t="n">
        <f aca="false">MIN(Inputs!$D$27,MAX(Inputs!$D$26,(E12/Inputs!$D$66)^Inputs!$D$25))</f>
        <v>0.92237412135342</v>
      </c>
      <c r="G12" s="32" t="n">
        <f aca="false">MIN(Inputs!$D$37,MAX(Inputs!$D$36,(Data!D12/Inputs!$D$34)^Inputs!$D$35))</f>
        <v>1.52068287735894</v>
      </c>
      <c r="H12" s="11" t="n">
        <f aca="false">Inputs!$C$17*D12*F12</f>
        <v>8.79663473358329</v>
      </c>
      <c r="I12" s="11" t="n">
        <f aca="false">Inputs!$D$17*D12*F12</f>
        <v>14.6610578893055</v>
      </c>
      <c r="J12" s="11" t="n">
        <f aca="false">Inputs!$E$17*D12*F12</f>
        <v>18.766154098311</v>
      </c>
      <c r="K12" s="11" t="n">
        <f aca="false">Forecast!L12*H12/1000000</f>
        <v>291.994146908941</v>
      </c>
      <c r="L12" s="11" t="n">
        <f aca="false">Forecast!M12*I12/1000000</f>
        <v>620.391745737345</v>
      </c>
      <c r="M12" s="11" t="n">
        <f aca="false">Forecast!N12*J12/1000000</f>
        <v>946.20790563635</v>
      </c>
      <c r="N12" s="14" t="n">
        <f aca="false">Inputs!$C$19*Forecast!H12+Inputs!$C$18*Forecast!O12</f>
        <v>1078892.51906658</v>
      </c>
      <c r="O12" s="14" t="n">
        <f aca="false">Inputs!$D$19*Forecast!H12+Inputs!$D$18*Forecast!P12</f>
        <v>3436668.62926498</v>
      </c>
      <c r="P12" s="14" t="n">
        <f aca="false">Inputs!$E$19*Forecast!H12+Inputs!$E$18*Forecast!Q12</f>
        <v>6969160.66267953</v>
      </c>
      <c r="Q12" s="11" t="n">
        <f aca="false">N12*H12/1000000</f>
        <v>9.49062340702424</v>
      </c>
      <c r="R12" s="11" t="n">
        <f aca="false">O12*I12/1000000</f>
        <v>50.385197720014</v>
      </c>
      <c r="S12" s="11" t="n">
        <f aca="false">P12*J12/1000000</f>
        <v>130.784342931731</v>
      </c>
      <c r="T12" s="11" t="n">
        <f aca="false">Data!D12*Data!E12*I12/1000000</f>
        <v>293.646393767939</v>
      </c>
      <c r="U12" s="13" t="n">
        <f aca="false">(L12/T12)^(1/Inputs!$D$8)-1</f>
        <v>0.132766047009298</v>
      </c>
      <c r="V12" s="38" t="n">
        <f aca="false">R12*Inputs!$D$29/(Inputs!$D$30*G12)</f>
        <v>1.38055295393346</v>
      </c>
    </row>
    <row r="13" customFormat="false" ht="15" hidden="false" customHeight="false" outlineLevel="0" collapsed="false">
      <c r="A13" s="34" t="str">
        <f aca="false">Data!A13</f>
        <v>Congo, Rep.</v>
      </c>
      <c r="B13" s="34" t="str">
        <f aca="false">Data!B13</f>
        <v>COG</v>
      </c>
      <c r="C13" s="35" t="n">
        <f aca="false">Data!AB13</f>
        <v>1</v>
      </c>
      <c r="D13" s="32" t="n">
        <f aca="false">MIN(Inputs!$D$24,MAX(Inputs!$D$23,(Data!J13/Inputs!$D$65)^Inputs!$D$22))</f>
        <v>1.01831836308658</v>
      </c>
      <c r="E13" s="32" t="n">
        <f aca="false">MIN(1,Data!E13/Data!F13)</f>
        <v>0.928315850589966</v>
      </c>
      <c r="F13" s="32" t="n">
        <f aca="false">MIN(Inputs!$D$27,MAX(Inputs!$D$26,(E13/Inputs!$D$66)^Inputs!$D$25))</f>
        <v>0.956117835911757</v>
      </c>
      <c r="G13" s="32" t="n">
        <f aca="false">MIN(Inputs!$D$37,MAX(Inputs!$D$36,(Data!D13/Inputs!$D$34)^Inputs!$D$35))</f>
        <v>0.6</v>
      </c>
      <c r="H13" s="11" t="n">
        <f aca="false">Inputs!$C$17*D13*F13</f>
        <v>14.6044852437532</v>
      </c>
      <c r="I13" s="11" t="n">
        <f aca="false">Inputs!$D$17*D13*F13</f>
        <v>24.3408087395886</v>
      </c>
      <c r="J13" s="11" t="n">
        <f aca="false">Inputs!$E$17*D13*F13</f>
        <v>31.1562351866734</v>
      </c>
      <c r="K13" s="11" t="n">
        <f aca="false">Forecast!L13*H13/1000000</f>
        <v>39.7305891734344</v>
      </c>
      <c r="L13" s="11" t="n">
        <f aca="false">Forecast!M13*I13/1000000</f>
        <v>77.6356063134308</v>
      </c>
      <c r="M13" s="11" t="n">
        <f aca="false">Forecast!N13*J13/1000000</f>
        <v>110.521697535941</v>
      </c>
      <c r="N13" s="14" t="n">
        <f aca="false">Inputs!$C$19*Forecast!H13+Inputs!$C$18*Forecast!O13</f>
        <v>76331.9969232869</v>
      </c>
      <c r="O13" s="14" t="n">
        <f aca="false">Inputs!$D$19*Forecast!H13+Inputs!$D$18*Forecast!P13</f>
        <v>217561.596944255</v>
      </c>
      <c r="P13" s="14" t="n">
        <f aca="false">Inputs!$E$19*Forecast!H13+Inputs!$E$18*Forecast!Q13</f>
        <v>410852.665502377</v>
      </c>
      <c r="Q13" s="11" t="n">
        <f aca="false">N13*H13/1000000</f>
        <v>1.11478952269236</v>
      </c>
      <c r="R13" s="11" t="n">
        <f aca="false">O13*I13/1000000</f>
        <v>5.29562522029957</v>
      </c>
      <c r="S13" s="11" t="n">
        <f aca="false">P13*J13/1000000</f>
        <v>12.8006222734637</v>
      </c>
      <c r="T13" s="11" t="n">
        <f aca="false">Data!D13*Data!E13*I13/1000000</f>
        <v>45.9004338271685</v>
      </c>
      <c r="U13" s="13" t="n">
        <f aca="false">(L13/T13)^(1/Inputs!$D$8)-1</f>
        <v>0.0915426085449074</v>
      </c>
      <c r="V13" s="38" t="n">
        <f aca="false">R13*Inputs!$D$29/(Inputs!$D$30*G13)</f>
        <v>0.367751751409692</v>
      </c>
    </row>
    <row r="14" customFormat="false" ht="15" hidden="false" customHeight="false" outlineLevel="0" collapsed="false">
      <c r="A14" s="34" t="str">
        <f aca="false">Data!A14</f>
        <v>Cote d'Ivoire</v>
      </c>
      <c r="B14" s="34" t="str">
        <f aca="false">Data!B14</f>
        <v>CIV</v>
      </c>
      <c r="C14" s="35" t="n">
        <f aca="false">Data!AB14</f>
        <v>1</v>
      </c>
      <c r="D14" s="32" t="n">
        <f aca="false">MIN(Inputs!$D$24,MAX(Inputs!$D$23,(Data!J14/Inputs!$D$65)^Inputs!$D$22))</f>
        <v>1.05172816249943</v>
      </c>
      <c r="E14" s="32" t="n">
        <f aca="false">MIN(1,Data!E14/Data!F14)</f>
        <v>0.927288157859461</v>
      </c>
      <c r="F14" s="32" t="n">
        <f aca="false">MIN(Inputs!$D$27,MAX(Inputs!$D$26,(E14/Inputs!$D$66)^Inputs!$D$25))</f>
        <v>0.955059364973393</v>
      </c>
      <c r="G14" s="32" t="n">
        <f aca="false">MIN(Inputs!$D$37,MAX(Inputs!$D$36,(Data!D14/Inputs!$D$34)^Inputs!$D$35))</f>
        <v>0.96512485898663</v>
      </c>
      <c r="H14" s="11" t="n">
        <f aca="false">Inputs!$C$17*D14*F14</f>
        <v>15.06694246502</v>
      </c>
      <c r="I14" s="11" t="n">
        <f aca="false">Inputs!$D$17*D14*F14</f>
        <v>25.1115707750334</v>
      </c>
      <c r="J14" s="11" t="n">
        <f aca="false">Inputs!$E$17*D14*F14</f>
        <v>32.1428105920427</v>
      </c>
      <c r="K14" s="11" t="n">
        <f aca="false">Forecast!L14*H14/1000000</f>
        <v>210.867611399658</v>
      </c>
      <c r="L14" s="11" t="n">
        <f aca="false">Forecast!M14*I14/1000000</f>
        <v>408.814803487415</v>
      </c>
      <c r="M14" s="11" t="n">
        <f aca="false">Forecast!N14*J14/1000000</f>
        <v>578.526240736804</v>
      </c>
      <c r="N14" s="14" t="n">
        <f aca="false">Inputs!$C$19*Forecast!H14+Inputs!$C$18*Forecast!O14</f>
        <v>385935.728506155</v>
      </c>
      <c r="O14" s="14" t="n">
        <f aca="false">Inputs!$D$19*Forecast!H14+Inputs!$D$18*Forecast!P14</f>
        <v>1087477.13329158</v>
      </c>
      <c r="P14" s="14" t="n">
        <f aca="false">Inputs!$E$19*Forecast!H14+Inputs!$E$18*Forecast!Q14</f>
        <v>2040802.32945565</v>
      </c>
      <c r="Q14" s="11" t="n">
        <f aca="false">N14*H14/1000000</f>
        <v>5.81487141659782</v>
      </c>
      <c r="R14" s="11" t="n">
        <f aca="false">O14*I14/1000000</f>
        <v>27.308258998882</v>
      </c>
      <c r="S14" s="11" t="n">
        <f aca="false">P14*J14/1000000</f>
        <v>65.5971227314927</v>
      </c>
      <c r="T14" s="11" t="n">
        <f aca="false">Data!D14*Data!E14*I14/1000000</f>
        <v>245.332831501242</v>
      </c>
      <c r="U14" s="13" t="n">
        <f aca="false">(L14/T14)^(1/Inputs!$D$8)-1</f>
        <v>0.0888343760653156</v>
      </c>
      <c r="V14" s="38" t="n">
        <f aca="false">R14*Inputs!$D$29/(Inputs!$D$30*G14)</f>
        <v>1.17896054003638</v>
      </c>
    </row>
    <row r="15" customFormat="false" ht="15" hidden="false" customHeight="false" outlineLevel="0" collapsed="false">
      <c r="A15" s="34" t="str">
        <f aca="false">Data!A15</f>
        <v>Eswatini</v>
      </c>
      <c r="B15" s="34" t="str">
        <f aca="false">Data!B15</f>
        <v>SWZ</v>
      </c>
      <c r="C15" s="35" t="n">
        <f aca="false">Data!AB15</f>
        <v>0</v>
      </c>
      <c r="D15" s="32" t="n">
        <f aca="false">MIN(Inputs!$D$24,MAX(Inputs!$D$23,(Data!J15/Inputs!$D$65)^Inputs!$D$22))</f>
        <v>1.22313375352981</v>
      </c>
      <c r="E15" s="32" t="n">
        <f aca="false">MIN(1,Data!E15/Data!F15)</f>
        <v>0.7741092338816</v>
      </c>
      <c r="F15" s="32" t="n">
        <f aca="false">MIN(Inputs!$D$27,MAX(Inputs!$D$26,(E15/Inputs!$D$66)^Inputs!$D$25))</f>
        <v>0.797292909506831</v>
      </c>
      <c r="G15" s="32" t="n">
        <f aca="false">MIN(Inputs!$D$37,MAX(Inputs!$D$36,(Data!D15/Inputs!$D$34)^Inputs!$D$35))</f>
        <v>0.6</v>
      </c>
      <c r="H15" s="11" t="n">
        <f aca="false">Inputs!$C$17*D15*F15</f>
        <v>14.6279380360169</v>
      </c>
      <c r="I15" s="11" t="n">
        <f aca="false">Inputs!$D$17*D15*F15</f>
        <v>24.3798967266949</v>
      </c>
      <c r="J15" s="11" t="n">
        <f aca="false">Inputs!$E$17*D15*F15</f>
        <v>31.2062678101694</v>
      </c>
      <c r="K15" s="11" t="n">
        <f aca="false">Forecast!L15*H15/1000000</f>
        <v>8.04227996457879</v>
      </c>
      <c r="L15" s="11" t="n">
        <f aca="false">Forecast!M15*I15/1000000</f>
        <v>15.7990121407957</v>
      </c>
      <c r="M15" s="11" t="n">
        <f aca="false">Forecast!N15*J15/1000000</f>
        <v>22.5834643047891</v>
      </c>
      <c r="N15" s="14" t="n">
        <f aca="false">Inputs!$C$19*Forecast!H15+Inputs!$C$18*Forecast!O15</f>
        <v>15602.1584428052</v>
      </c>
      <c r="O15" s="14" t="n">
        <f aca="false">Inputs!$D$19*Forecast!H15+Inputs!$D$18*Forecast!P15</f>
        <v>44809.5356353041</v>
      </c>
      <c r="P15" s="14" t="n">
        <f aca="false">Inputs!$E$19*Forecast!H15+Inputs!$E$18*Forecast!Q15</f>
        <v>84983.2545711487</v>
      </c>
      <c r="Q15" s="11" t="n">
        <f aca="false">N15*H15/1000000</f>
        <v>0.228227406929472</v>
      </c>
      <c r="R15" s="11" t="n">
        <f aca="false">O15*I15/1000000</f>
        <v>1.09245185115987</v>
      </c>
      <c r="S15" s="11" t="n">
        <f aca="false">P15*J15/1000000</f>
        <v>2.65201020152707</v>
      </c>
      <c r="T15" s="11" t="n">
        <f aca="false">Data!D15*Data!E15*I15/1000000</f>
        <v>10.0305061696292</v>
      </c>
      <c r="U15" s="13" t="n">
        <f aca="false">(L15/T15)^(1/Inputs!$D$8)-1</f>
        <v>0.0786598505770502</v>
      </c>
      <c r="V15" s="38" t="n">
        <f aca="false">R15*Inputs!$D$29/(Inputs!$D$30*G15)</f>
        <v>0.0758647118861019</v>
      </c>
    </row>
    <row r="16" customFormat="false" ht="15" hidden="false" customHeight="false" outlineLevel="0" collapsed="false">
      <c r="A16" s="34" t="str">
        <f aca="false">Data!A16</f>
        <v>Ethiopia</v>
      </c>
      <c r="B16" s="34" t="str">
        <f aca="false">Data!B16</f>
        <v>ETH</v>
      </c>
      <c r="C16" s="35" t="n">
        <f aca="false">Data!AB16</f>
        <v>1</v>
      </c>
      <c r="D16" s="32" t="n">
        <f aca="false">MIN(Inputs!$D$24,MAX(Inputs!$D$23,(Data!J16/Inputs!$D$65)^Inputs!$D$22))</f>
        <v>0.781888775951048</v>
      </c>
      <c r="E16" s="32" t="n">
        <f aca="false">MIN(1,Data!E16/Data!F16)</f>
        <v>0.193627606866022</v>
      </c>
      <c r="F16" s="32" t="n">
        <f aca="false">MIN(Inputs!$D$27,MAX(Inputs!$D$26,(E16/Inputs!$D$66)^Inputs!$D$25))</f>
        <v>0.25</v>
      </c>
      <c r="G16" s="32" t="n">
        <f aca="false">MIN(Inputs!$D$37,MAX(Inputs!$D$36,(Data!D16/Inputs!$D$34)^Inputs!$D$35))</f>
        <v>1.72383515143534</v>
      </c>
      <c r="H16" s="11" t="n">
        <f aca="false">Inputs!$C$17*D16*F16</f>
        <v>2.93208290981643</v>
      </c>
      <c r="I16" s="11" t="n">
        <f aca="false">Inputs!$D$17*D16*F16</f>
        <v>4.88680484969405</v>
      </c>
      <c r="J16" s="11" t="n">
        <f aca="false">Inputs!$E$17*D16*F16</f>
        <v>6.25511020760838</v>
      </c>
      <c r="K16" s="11" t="n">
        <f aca="false">Forecast!L16*H16/1000000</f>
        <v>40.3860213800022</v>
      </c>
      <c r="L16" s="11" t="n">
        <f aca="false">Forecast!M16*I16/1000000</f>
        <v>103.899102155023</v>
      </c>
      <c r="M16" s="11" t="n">
        <f aca="false">Forecast!N16*J16/1000000</f>
        <v>194.99786839558</v>
      </c>
      <c r="N16" s="14" t="n">
        <f aca="false">Inputs!$C$19*Forecast!H16+Inputs!$C$18*Forecast!O16</f>
        <v>543044.995573749</v>
      </c>
      <c r="O16" s="14" t="n">
        <f aca="false">Inputs!$D$19*Forecast!H16+Inputs!$D$18*Forecast!P16</f>
        <v>2157428.21793632</v>
      </c>
      <c r="P16" s="14" t="n">
        <f aca="false">Inputs!$E$19*Forecast!H16+Inputs!$E$18*Forecast!Q16</f>
        <v>5396679.15838563</v>
      </c>
      <c r="Q16" s="11" t="n">
        <f aca="false">N16*H16/1000000</f>
        <v>1.59225295078313</v>
      </c>
      <c r="R16" s="11" t="n">
        <f aca="false">O16*I16/1000000</f>
        <v>10.542930678278</v>
      </c>
      <c r="S16" s="11" t="n">
        <f aca="false">P16*J16/1000000</f>
        <v>33.7568228908054</v>
      </c>
      <c r="T16" s="11" t="n">
        <f aca="false">Data!D16*Data!E16*I16/1000000</f>
        <v>36.0537785227404</v>
      </c>
      <c r="U16" s="13" t="n">
        <f aca="false">(L16/T16)^(1/Inputs!$D$8)-1</f>
        <v>0.192916836146786</v>
      </c>
      <c r="V16" s="38" t="n">
        <f aca="false">R16*Inputs!$D$29/(Inputs!$D$30*G16)</f>
        <v>0.254832243034267</v>
      </c>
    </row>
    <row r="17" customFormat="false" ht="15" hidden="false" customHeight="false" outlineLevel="0" collapsed="false">
      <c r="A17" s="34" t="str">
        <f aca="false">Data!A17</f>
        <v>Gabon</v>
      </c>
      <c r="B17" s="34" t="str">
        <f aca="false">Data!B17</f>
        <v>GAB</v>
      </c>
      <c r="C17" s="35" t="n">
        <f aca="false">Data!AB17</f>
        <v>0</v>
      </c>
      <c r="D17" s="32" t="n">
        <f aca="false">MIN(Inputs!$D$24,MAX(Inputs!$D$23,(Data!J17/Inputs!$D$65)^Inputs!$D$22))</f>
        <v>1.3</v>
      </c>
      <c r="E17" s="32" t="n">
        <f aca="false">MIN(1,Data!E17/Data!F17)</f>
        <v>0.904083519196162</v>
      </c>
      <c r="F17" s="32" t="n">
        <f aca="false">MIN(Inputs!$D$27,MAX(Inputs!$D$26,(E17/Inputs!$D$66)^Inputs!$D$25))</f>
        <v>0.931159774238442</v>
      </c>
      <c r="G17" s="32" t="n">
        <f aca="false">MIN(Inputs!$D$37,MAX(Inputs!$D$36,(Data!D17/Inputs!$D$34)^Inputs!$D$35))</f>
        <v>0.6</v>
      </c>
      <c r="H17" s="11" t="n">
        <f aca="false">Inputs!$C$17*D17*F17</f>
        <v>18.1576155976496</v>
      </c>
      <c r="I17" s="11" t="n">
        <f aca="false">Inputs!$D$17*D17*F17</f>
        <v>30.2626926627494</v>
      </c>
      <c r="J17" s="11" t="n">
        <f aca="false">Inputs!$E$17*D17*F17</f>
        <v>38.7362466083192</v>
      </c>
      <c r="K17" s="11" t="n">
        <f aca="false">Forecast!L17*H17/1000000</f>
        <v>23.8112824077485</v>
      </c>
      <c r="L17" s="11" t="n">
        <f aca="false">Forecast!M17*I17/1000000</f>
        <v>44.6284498335056</v>
      </c>
      <c r="M17" s="11" t="n">
        <f aca="false">Forecast!N17*J17/1000000</f>
        <v>61.6136654626308</v>
      </c>
      <c r="N17" s="14" t="n">
        <f aca="false">Inputs!$C$19*Forecast!H17+Inputs!$C$18*Forecast!O17</f>
        <v>33240.1714114925</v>
      </c>
      <c r="O17" s="14" t="n">
        <f aca="false">Inputs!$D$19*Forecast!H17+Inputs!$D$18*Forecast!P17</f>
        <v>88893.0601421602</v>
      </c>
      <c r="P17" s="14" t="n">
        <f aca="false">Inputs!$E$19*Forecast!H17+Inputs!$E$18*Forecast!Q17</f>
        <v>162488.501658622</v>
      </c>
      <c r="Q17" s="11" t="n">
        <f aca="false">N17*H17/1000000</f>
        <v>0.603562254889864</v>
      </c>
      <c r="R17" s="11" t="n">
        <f aca="false">O17*I17/1000000</f>
        <v>2.69014335893349</v>
      </c>
      <c r="S17" s="11" t="n">
        <f aca="false">P17*J17/1000000</f>
        <v>6.29419467126466</v>
      </c>
      <c r="T17" s="11" t="n">
        <f aca="false">Data!D17*Data!E17*I17/1000000</f>
        <v>29.3584886960162</v>
      </c>
      <c r="U17" s="13" t="n">
        <f aca="false">(L17/T17)^(1/Inputs!$D$8)-1</f>
        <v>0.0722918811740638</v>
      </c>
      <c r="V17" s="38" t="n">
        <f aca="false">R17*Inputs!$D$29/(Inputs!$D$30*G17)</f>
        <v>0.186815511037048</v>
      </c>
    </row>
    <row r="18" customFormat="false" ht="15" hidden="false" customHeight="false" outlineLevel="0" collapsed="false">
      <c r="A18" s="34" t="str">
        <f aca="false">Data!A18</f>
        <v>Gambia, The</v>
      </c>
      <c r="B18" s="34" t="str">
        <f aca="false">Data!B18</f>
        <v>GMB</v>
      </c>
      <c r="C18" s="35" t="n">
        <f aca="false">Data!AB18</f>
        <v>0</v>
      </c>
      <c r="D18" s="32" t="n">
        <f aca="false">MIN(Inputs!$D$24,MAX(Inputs!$D$23,(Data!J18/Inputs!$D$65)^Inputs!$D$22))</f>
        <v>0.797262465813622</v>
      </c>
      <c r="E18" s="32" t="n">
        <f aca="false">MIN(1,Data!E18/Data!F18)</f>
        <v>0.500212041109419</v>
      </c>
      <c r="F18" s="32" t="n">
        <f aca="false">MIN(Inputs!$D$27,MAX(Inputs!$D$26,(E18/Inputs!$D$66)^Inputs!$D$25))</f>
        <v>0.515192812811064</v>
      </c>
      <c r="G18" s="32" t="n">
        <f aca="false">MIN(Inputs!$D$37,MAX(Inputs!$D$36,(Data!D18/Inputs!$D$34)^Inputs!$D$35))</f>
        <v>0.6</v>
      </c>
      <c r="H18" s="11" t="n">
        <f aca="false">Inputs!$C$17*D18*F18</f>
        <v>6.16115838466808</v>
      </c>
      <c r="I18" s="11" t="n">
        <f aca="false">Inputs!$D$17*D18*F18</f>
        <v>10.2685973077801</v>
      </c>
      <c r="J18" s="11" t="n">
        <f aca="false">Inputs!$E$17*D18*F18</f>
        <v>13.1438045539586</v>
      </c>
      <c r="K18" s="11" t="n">
        <f aca="false">Forecast!L18*H18/1000000</f>
        <v>3.24084239402212</v>
      </c>
      <c r="L18" s="11" t="n">
        <f aca="false">Forecast!M18*I18/1000000</f>
        <v>7.66970550325398</v>
      </c>
      <c r="M18" s="11" t="n">
        <f aca="false">Forecast!N18*J18/1000000</f>
        <v>13.0143128375348</v>
      </c>
      <c r="N18" s="14" t="n">
        <f aca="false">Inputs!$C$19*Forecast!H18+Inputs!$C$18*Forecast!O18</f>
        <v>19371.452944221</v>
      </c>
      <c r="O18" s="14" t="n">
        <f aca="false">Inputs!$D$19*Forecast!H18+Inputs!$D$18*Forecast!P18</f>
        <v>70111.0938162667</v>
      </c>
      <c r="P18" s="14" t="n">
        <f aca="false">Inputs!$E$19*Forecast!H18+Inputs!$E$18*Forecast!Q18</f>
        <v>158438.51100488</v>
      </c>
      <c r="Q18" s="11" t="n">
        <f aca="false">N18*H18/1000000</f>
        <v>0.11935058973049</v>
      </c>
      <c r="R18" s="11" t="n">
        <f aca="false">O18*I18/1000000</f>
        <v>0.719942589207236</v>
      </c>
      <c r="S18" s="11" t="n">
        <f aca="false">P18*J18/1000000</f>
        <v>2.08248482246836</v>
      </c>
      <c r="T18" s="11" t="n">
        <f aca="false">Data!D18*Data!E18*I18/1000000</f>
        <v>3.13422138199335</v>
      </c>
      <c r="U18" s="13" t="n">
        <f aca="false">(L18/T18)^(1/Inputs!$D$8)-1</f>
        <v>0.160846607626893</v>
      </c>
      <c r="V18" s="38" t="n">
        <f aca="false">R18*Inputs!$D$29/(Inputs!$D$30*G18)</f>
        <v>0.0499960131393914</v>
      </c>
    </row>
    <row r="19" customFormat="false" ht="15" hidden="false" customHeight="false" outlineLevel="0" collapsed="false">
      <c r="A19" s="34" t="str">
        <f aca="false">Data!A19</f>
        <v>Ghana</v>
      </c>
      <c r="B19" s="34" t="str">
        <f aca="false">Data!B19</f>
        <v>GHA</v>
      </c>
      <c r="C19" s="35" t="n">
        <f aca="false">Data!AB19</f>
        <v>1</v>
      </c>
      <c r="D19" s="32" t="n">
        <f aca="false">MIN(Inputs!$D$24,MAX(Inputs!$D$23,(Data!J19/Inputs!$D$65)^Inputs!$D$22))</f>
        <v>1.06922931106142</v>
      </c>
      <c r="E19" s="32" t="n">
        <f aca="false">MIN(1,Data!E19/Data!F19)</f>
        <v>0.963545649180004</v>
      </c>
      <c r="F19" s="32" t="n">
        <f aca="false">MIN(Inputs!$D$27,MAX(Inputs!$D$26,(E19/Inputs!$D$66)^Inputs!$D$25))</f>
        <v>0.992402726195713</v>
      </c>
      <c r="G19" s="32" t="n">
        <f aca="false">MIN(Inputs!$D$37,MAX(Inputs!$D$36,(Data!D19/Inputs!$D$34)^Inputs!$D$35))</f>
        <v>1.03057172890977</v>
      </c>
      <c r="H19" s="11" t="n">
        <f aca="false">Inputs!$C$17*D19*F19</f>
        <v>15.9165912483857</v>
      </c>
      <c r="I19" s="11" t="n">
        <f aca="false">Inputs!$D$17*D19*F19</f>
        <v>26.5276520806429</v>
      </c>
      <c r="J19" s="11" t="n">
        <f aca="false">Inputs!$E$17*D19*F19</f>
        <v>33.9553946632229</v>
      </c>
      <c r="K19" s="11" t="n">
        <f aca="false">Forecast!L19*H19/1000000</f>
        <v>330.113888540075</v>
      </c>
      <c r="L19" s="11" t="n">
        <f aca="false">Forecast!M19*I19/1000000</f>
        <v>584.035766715018</v>
      </c>
      <c r="M19" s="11" t="n">
        <f aca="false">Forecast!N19*J19/1000000</f>
        <v>753.057087168674</v>
      </c>
      <c r="N19" s="14" t="n">
        <f aca="false">Inputs!$C$19*Forecast!H19+Inputs!$C$18*Forecast!O19</f>
        <v>432618.837397821</v>
      </c>
      <c r="O19" s="14" t="n">
        <f aca="false">Inputs!$D$19*Forecast!H19+Inputs!$D$18*Forecast!P19</f>
        <v>1037924.17966339</v>
      </c>
      <c r="P19" s="14" t="n">
        <f aca="false">Inputs!$E$19*Forecast!H19+Inputs!$E$18*Forecast!Q19</f>
        <v>1671092.08489411</v>
      </c>
      <c r="Q19" s="11" t="n">
        <f aca="false">N19*H19/1000000</f>
        <v>6.88581720121296</v>
      </c>
      <c r="R19" s="11" t="n">
        <f aca="false">O19*I19/1000000</f>
        <v>27.533691524197</v>
      </c>
      <c r="S19" s="11" t="n">
        <f aca="false">P19*J19/1000000</f>
        <v>56.7425912611674</v>
      </c>
      <c r="T19" s="11" t="n">
        <f aca="false">Data!D19*Data!E19*I19/1000000</f>
        <v>447.798620719153</v>
      </c>
      <c r="U19" s="13" t="n">
        <f aca="false">(L19/T19)^(1/Inputs!$D$8)-1</f>
        <v>0.0452642945478594</v>
      </c>
      <c r="V19" s="38" t="n">
        <f aca="false">R19*Inputs!$D$29/(Inputs!$D$30*G19)</f>
        <v>1.11320455884735</v>
      </c>
    </row>
    <row r="20" customFormat="false" ht="15" hidden="false" customHeight="false" outlineLevel="0" collapsed="false">
      <c r="A20" s="34" t="str">
        <f aca="false">Data!A20</f>
        <v>Guinea</v>
      </c>
      <c r="B20" s="34" t="str">
        <f aca="false">Data!B20</f>
        <v>GIN</v>
      </c>
      <c r="C20" s="35" t="n">
        <f aca="false">Data!AB20</f>
        <v>1</v>
      </c>
      <c r="D20" s="32" t="n">
        <f aca="false">MIN(Inputs!$D$24,MAX(Inputs!$D$23,(Data!J20/Inputs!$D$65)^Inputs!$D$22))</f>
        <v>0.877111159393084</v>
      </c>
      <c r="E20" s="32" t="n">
        <f aca="false">MIN(1,Data!E20/Data!F20)</f>
        <v>0.716320505724371</v>
      </c>
      <c r="F20" s="32" t="n">
        <f aca="false">MIN(Inputs!$D$27,MAX(Inputs!$D$26,(E20/Inputs!$D$66)^Inputs!$D$25))</f>
        <v>0.737773475824139</v>
      </c>
      <c r="G20" s="32" t="n">
        <f aca="false">MIN(Inputs!$D$37,MAX(Inputs!$D$36,(Data!D20/Inputs!$D$34)^Inputs!$D$35))</f>
        <v>0.708962042923132</v>
      </c>
      <c r="H20" s="11" t="n">
        <f aca="false">Inputs!$C$17*D20*F20</f>
        <v>9.70664023124363</v>
      </c>
      <c r="I20" s="11" t="n">
        <f aca="false">Inputs!$D$17*D20*F20</f>
        <v>16.1777337187394</v>
      </c>
      <c r="J20" s="11" t="n">
        <f aca="false">Inputs!$E$17*D20*F20</f>
        <v>20.7074991599864</v>
      </c>
      <c r="K20" s="11" t="n">
        <f aca="false">Forecast!L20*H20/1000000</f>
        <v>35.3301314691328</v>
      </c>
      <c r="L20" s="11" t="n">
        <f aca="false">Forecast!M20*I20/1000000</f>
        <v>79.5927186856283</v>
      </c>
      <c r="M20" s="11" t="n">
        <f aca="false">Forecast!N20*J20/1000000</f>
        <v>128.267862586893</v>
      </c>
      <c r="N20" s="14" t="n">
        <f aca="false">Inputs!$C$19*Forecast!H20+Inputs!$C$18*Forecast!O20</f>
        <v>127431.217509301</v>
      </c>
      <c r="O20" s="14" t="n">
        <f aca="false">Inputs!$D$19*Forecast!H20+Inputs!$D$18*Forecast!P20</f>
        <v>435672.604716238</v>
      </c>
      <c r="P20" s="14" t="n">
        <f aca="false">Inputs!$E$19*Forecast!H20+Inputs!$E$18*Forecast!Q20</f>
        <v>934465.22795408</v>
      </c>
      <c r="Q20" s="11" t="n">
        <f aca="false">N20*H20/1000000</f>
        <v>1.23692898259214</v>
      </c>
      <c r="R20" s="11" t="n">
        <f aca="false">O20*I20/1000000</f>
        <v>7.04819538764891</v>
      </c>
      <c r="S20" s="11" t="n">
        <f aca="false">P20*J20/1000000</f>
        <v>19.3504379228956</v>
      </c>
      <c r="T20" s="11" t="n">
        <f aca="false">Data!D20*Data!E20*I20/1000000</f>
        <v>35.3585134632845</v>
      </c>
      <c r="U20" s="13" t="n">
        <f aca="false">(L20/T20)^(1/Inputs!$D$8)-1</f>
        <v>0.144800710250709</v>
      </c>
      <c r="V20" s="38" t="n">
        <f aca="false">R20*Inputs!$D$29/(Inputs!$D$30*G20)</f>
        <v>0.414232060446917</v>
      </c>
    </row>
    <row r="21" customFormat="false" ht="15" hidden="false" customHeight="false" outlineLevel="0" collapsed="false">
      <c r="A21" s="34" t="str">
        <f aca="false">Data!A21</f>
        <v>Kenya</v>
      </c>
      <c r="B21" s="34" t="str">
        <f aca="false">Data!B21</f>
        <v>KEN</v>
      </c>
      <c r="C21" s="35" t="n">
        <f aca="false">Data!AB21</f>
        <v>0</v>
      </c>
      <c r="D21" s="32" t="n">
        <f aca="false">MIN(Inputs!$D$24,MAX(Inputs!$D$23,(Data!J21/Inputs!$D$65)^Inputs!$D$22))</f>
        <v>1</v>
      </c>
      <c r="E21" s="32" t="n">
        <f aca="false">MIN(1,Data!E21/Data!F21)</f>
        <v>0.970922009529004</v>
      </c>
      <c r="F21" s="32" t="n">
        <f aca="false">MIN(Inputs!$D$27,MAX(Inputs!$D$26,(E21/Inputs!$D$66)^Inputs!$D$25))</f>
        <v>1</v>
      </c>
      <c r="G21" s="32" t="n">
        <f aca="false">MIN(Inputs!$D$37,MAX(Inputs!$D$36,(Data!D21/Inputs!$D$34)^Inputs!$D$35))</f>
        <v>1.2453729604931</v>
      </c>
      <c r="H21" s="11" t="n">
        <f aca="false">Inputs!$C$17*D21*F21</f>
        <v>15</v>
      </c>
      <c r="I21" s="11" t="n">
        <f aca="false">Inputs!$D$17*D21*F21</f>
        <v>25</v>
      </c>
      <c r="J21" s="11" t="n">
        <f aca="false">Inputs!$E$17*D21*F21</f>
        <v>32</v>
      </c>
      <c r="K21" s="11" t="n">
        <f aca="false">Forecast!L21*H21/1000000</f>
        <v>536.627711954659</v>
      </c>
      <c r="L21" s="11" t="n">
        <f aca="false">Forecast!M21*I21/1000000</f>
        <v>894.379519924432</v>
      </c>
      <c r="M21" s="11" t="n">
        <f aca="false">Forecast!N21*J21/1000000</f>
        <v>1144.80578550327</v>
      </c>
      <c r="N21" s="14" t="n">
        <f aca="false">Inputs!$C$19*Forecast!H21+Inputs!$C$18*Forecast!O21</f>
        <v>650384.335835691</v>
      </c>
      <c r="O21" s="14" t="n">
        <f aca="false">Inputs!$D$19*Forecast!H21+Inputs!$D$18*Forecast!P21</f>
        <v>1283267.65261276</v>
      </c>
      <c r="P21" s="14" t="n">
        <f aca="false">Inputs!$E$19*Forecast!H21+Inputs!$E$18*Forecast!Q21</f>
        <v>2086276.36384541</v>
      </c>
      <c r="Q21" s="11" t="n">
        <f aca="false">N21*H21/1000000</f>
        <v>9.75576503753537</v>
      </c>
      <c r="R21" s="11" t="n">
        <f aca="false">O21*I21/1000000</f>
        <v>32.0816913153191</v>
      </c>
      <c r="S21" s="11" t="n">
        <f aca="false">P21*J21/1000000</f>
        <v>66.7608436430531</v>
      </c>
      <c r="T21" s="11" t="n">
        <f aca="false">Data!D21*Data!E21*I21/1000000</f>
        <v>757.22285827666</v>
      </c>
      <c r="U21" s="13" t="n">
        <f aca="false">(L21/T21)^(1/Inputs!$D$8)-1</f>
        <v>0.0281339220071291</v>
      </c>
      <c r="V21" s="38" t="n">
        <f aca="false">R21*Inputs!$D$29/(Inputs!$D$30*G21)</f>
        <v>1.07336290456236</v>
      </c>
    </row>
    <row r="22" customFormat="false" ht="15" hidden="false" customHeight="false" outlineLevel="0" collapsed="false">
      <c r="A22" s="34" t="str">
        <f aca="false">Data!A22</f>
        <v>Lesotho</v>
      </c>
      <c r="B22" s="34" t="str">
        <f aca="false">Data!B22</f>
        <v>LSO</v>
      </c>
      <c r="C22" s="35" t="n">
        <f aca="false">Data!AB22</f>
        <v>0</v>
      </c>
      <c r="D22" s="32" t="n">
        <f aca="false">MIN(Inputs!$D$24,MAX(Inputs!$D$23,(Data!J22/Inputs!$D$65)^Inputs!$D$22))</f>
        <v>0.763058063354542</v>
      </c>
      <c r="E22" s="32" t="n">
        <f aca="false">MIN(1,Data!E22/Data!F22)</f>
        <v>0.868473482855439</v>
      </c>
      <c r="F22" s="32" t="n">
        <f aca="false">MIN(Inputs!$D$27,MAX(Inputs!$D$26,(E22/Inputs!$D$66)^Inputs!$D$25))</f>
        <v>0.894483258523243</v>
      </c>
      <c r="G22" s="32" t="n">
        <f aca="false">MIN(Inputs!$D$37,MAX(Inputs!$D$36,(Data!D22/Inputs!$D$34)^Inputs!$D$35))</f>
        <v>0.6</v>
      </c>
      <c r="H22" s="11" t="n">
        <f aca="false">Inputs!$C$17*D22*F22</f>
        <v>10.2381399442771</v>
      </c>
      <c r="I22" s="11" t="n">
        <f aca="false">Inputs!$D$17*D22*F22</f>
        <v>17.0635665737952</v>
      </c>
      <c r="J22" s="11" t="n">
        <f aca="false">Inputs!$E$17*D22*F22</f>
        <v>21.8413652144578</v>
      </c>
      <c r="K22" s="11" t="n">
        <f aca="false">Forecast!L22*H22/1000000</f>
        <v>10.9087800773632</v>
      </c>
      <c r="L22" s="11" t="n">
        <f aca="false">Forecast!M22*I22/1000000</f>
        <v>21.1407980551677</v>
      </c>
      <c r="M22" s="11" t="n">
        <f aca="false">Forecast!N22*J22/1000000</f>
        <v>29.9080995876868</v>
      </c>
      <c r="N22" s="14" t="n">
        <f aca="false">Inputs!$C$19*Forecast!H22+Inputs!$C$18*Forecast!O22</f>
        <v>29356.1028438278</v>
      </c>
      <c r="O22" s="14" t="n">
        <f aca="false">Inputs!$D$19*Forecast!H22+Inputs!$D$18*Forecast!P22</f>
        <v>82670.6757214762</v>
      </c>
      <c r="P22" s="14" t="n">
        <f aca="false">Inputs!$E$19*Forecast!H22+Inputs!$E$18*Forecast!Q22</f>
        <v>155094.49163926</v>
      </c>
      <c r="Q22" s="11" t="n">
        <f aca="false">N22*H22/1000000</f>
        <v>0.3005518891337</v>
      </c>
      <c r="R22" s="11" t="n">
        <f aca="false">O22*I22/1000000</f>
        <v>1.41065657887404</v>
      </c>
      <c r="S22" s="11" t="n">
        <f aca="false">P22*J22/1000000</f>
        <v>3.38747543464375</v>
      </c>
      <c r="T22" s="11" t="n">
        <f aca="false">Data!D22*Data!E22*I22/1000000</f>
        <v>13.7250783108262</v>
      </c>
      <c r="U22" s="13" t="n">
        <f aca="false">(L22/T22)^(1/Inputs!$D$8)-1</f>
        <v>0.0746517686193233</v>
      </c>
      <c r="V22" s="38" t="n">
        <f aca="false">R22*Inputs!$D$29/(Inputs!$D$30*G22)</f>
        <v>0.0979622624218084</v>
      </c>
    </row>
    <row r="23" customFormat="false" ht="15" hidden="false" customHeight="false" outlineLevel="0" collapsed="false">
      <c r="A23" s="34" t="str">
        <f aca="false">Data!A23</f>
        <v>Liberia</v>
      </c>
      <c r="B23" s="34" t="str">
        <f aca="false">Data!B23</f>
        <v>LBR</v>
      </c>
      <c r="C23" s="35" t="n">
        <f aca="false">Data!AB23</f>
        <v>1</v>
      </c>
      <c r="D23" s="32" t="n">
        <f aca="false">MIN(Inputs!$D$24,MAX(Inputs!$D$23,(Data!J23/Inputs!$D$65)^Inputs!$D$22))</f>
        <v>0.641903513617064</v>
      </c>
      <c r="E23" s="32" t="n">
        <f aca="false">MIN(1,Data!E23/Data!F23)</f>
        <v>0.910279131641762</v>
      </c>
      <c r="F23" s="32" t="n">
        <f aca="false">MIN(Inputs!$D$27,MAX(Inputs!$D$26,(E23/Inputs!$D$66)^Inputs!$D$25))</f>
        <v>0.937540938106181</v>
      </c>
      <c r="G23" s="32" t="n">
        <f aca="false">MIN(Inputs!$D$37,MAX(Inputs!$D$36,(Data!D23/Inputs!$D$34)^Inputs!$D$35))</f>
        <v>0.6</v>
      </c>
      <c r="H23" s="11" t="n">
        <f aca="false">Inputs!$C$17*D23*F23</f>
        <v>9.02716233495295</v>
      </c>
      <c r="I23" s="11" t="n">
        <f aca="false">Inputs!$D$17*D23*F23</f>
        <v>15.0452705582549</v>
      </c>
      <c r="J23" s="11" t="n">
        <f aca="false">Inputs!$E$17*D23*F23</f>
        <v>19.2579463145663</v>
      </c>
      <c r="K23" s="11" t="n">
        <f aca="false">Forecast!L23*H23/1000000</f>
        <v>20.5483599054074</v>
      </c>
      <c r="L23" s="11" t="n">
        <f aca="false">Forecast!M23*I23/1000000</f>
        <v>40.9094102136802</v>
      </c>
      <c r="M23" s="11" t="n">
        <f aca="false">Forecast!N23*J23/1000000</f>
        <v>59.0880358156658</v>
      </c>
      <c r="N23" s="14" t="n">
        <f aca="false">Inputs!$C$19*Forecast!H23+Inputs!$C$18*Forecast!O23</f>
        <v>66364.3797750875</v>
      </c>
      <c r="O23" s="14" t="n">
        <f aca="false">Inputs!$D$19*Forecast!H23+Inputs!$D$18*Forecast!P23</f>
        <v>194192.787651903</v>
      </c>
      <c r="P23" s="14" t="n">
        <f aca="false">Inputs!$E$19*Forecast!H23+Inputs!$E$18*Forecast!Q23</f>
        <v>372313.507015907</v>
      </c>
      <c r="Q23" s="11" t="n">
        <f aca="false">N23*H23/1000000</f>
        <v>0.599082029488183</v>
      </c>
      <c r="R23" s="11" t="n">
        <f aca="false">O23*I23/1000000</f>
        <v>2.92168303068462</v>
      </c>
      <c r="S23" s="11" t="n">
        <f aca="false">P23*J23/1000000</f>
        <v>7.16999353030023</v>
      </c>
      <c r="T23" s="11" t="n">
        <f aca="false">Data!D23*Data!E23*I23/1000000</f>
        <v>23.5693608254635</v>
      </c>
      <c r="U23" s="13" t="n">
        <f aca="false">(L23/T23)^(1/Inputs!$D$8)-1</f>
        <v>0.0962574780020584</v>
      </c>
      <c r="V23" s="38" t="n">
        <f aca="false">R23*Inputs!$D$29/(Inputs!$D$30*G23)</f>
        <v>0.202894654908654</v>
      </c>
    </row>
    <row r="24" customFormat="false" ht="15" hidden="false" customHeight="false" outlineLevel="0" collapsed="false">
      <c r="A24" s="34" t="str">
        <f aca="false">Data!A24</f>
        <v>Madagascar</v>
      </c>
      <c r="B24" s="34" t="str">
        <f aca="false">Data!B24</f>
        <v>MDG</v>
      </c>
      <c r="C24" s="35" t="n">
        <f aca="false">Data!AB24</f>
        <v>1</v>
      </c>
      <c r="D24" s="32" t="n">
        <f aca="false">MIN(Inputs!$D$24,MAX(Inputs!$D$23,(Data!J24/Inputs!$D$65)^Inputs!$D$22))</f>
        <v>0.643685766025183</v>
      </c>
      <c r="E24" s="32" t="n">
        <f aca="false">MIN(1,Data!E24/Data!F24)</f>
        <v>0.791611701659846</v>
      </c>
      <c r="F24" s="32" t="n">
        <f aca="false">MIN(Inputs!$D$27,MAX(Inputs!$D$26,(E24/Inputs!$D$66)^Inputs!$D$25))</f>
        <v>0.815319555938234</v>
      </c>
      <c r="G24" s="32" t="n">
        <f aca="false">MIN(Inputs!$D$37,MAX(Inputs!$D$36,(Data!D24/Inputs!$D$34)^Inputs!$D$35))</f>
        <v>0.976612077658918</v>
      </c>
      <c r="H24" s="11" t="n">
        <f aca="false">Inputs!$C$17*D24*F24</f>
        <v>7.87214389379122</v>
      </c>
      <c r="I24" s="11" t="n">
        <f aca="false">Inputs!$D$17*D24*F24</f>
        <v>13.1202398229854</v>
      </c>
      <c r="J24" s="11" t="n">
        <f aca="false">Inputs!$E$17*D24*F24</f>
        <v>16.7939069734213</v>
      </c>
      <c r="K24" s="11" t="n">
        <f aca="false">Forecast!L24*H24/1000000</f>
        <v>49.8766420479548</v>
      </c>
      <c r="L24" s="11" t="n">
        <f aca="false">Forecast!M24*I24/1000000</f>
        <v>117.792083270247</v>
      </c>
      <c r="M24" s="11" t="n">
        <f aca="false">Forecast!N24*J24/1000000</f>
        <v>199.419543214157</v>
      </c>
      <c r="N24" s="14" t="n">
        <f aca="false">Inputs!$C$19*Forecast!H24+Inputs!$C$18*Forecast!O24</f>
        <v>232874.688437757</v>
      </c>
      <c r="O24" s="14" t="n">
        <f aca="false">Inputs!$D$19*Forecast!H24+Inputs!$D$18*Forecast!P24</f>
        <v>840851.363545867</v>
      </c>
      <c r="P24" s="14" t="n">
        <f aca="false">Inputs!$E$19*Forecast!H24+Inputs!$E$18*Forecast!Q24</f>
        <v>1895798.11951853</v>
      </c>
      <c r="Q24" s="11" t="n">
        <f aca="false">N24*H24/1000000</f>
        <v>1.83322305660382</v>
      </c>
      <c r="R24" s="11" t="n">
        <f aca="false">O24*I24/1000000</f>
        <v>11.032171545206</v>
      </c>
      <c r="S24" s="11" t="n">
        <f aca="false">P24*J24/1000000</f>
        <v>31.8378572595812</v>
      </c>
      <c r="T24" s="11" t="n">
        <f aca="false">Data!D24*Data!E24*I24/1000000</f>
        <v>47.8707847433247</v>
      </c>
      <c r="U24" s="13" t="n">
        <f aca="false">(L24/T24)^(1/Inputs!$D$8)-1</f>
        <v>0.161914734998392</v>
      </c>
      <c r="V24" s="38" t="n">
        <f aca="false">R24*Inputs!$D$29/(Inputs!$D$30*G24)</f>
        <v>0.470682090565058</v>
      </c>
    </row>
    <row r="25" customFormat="false" ht="15" hidden="false" customHeight="false" outlineLevel="0" collapsed="false">
      <c r="A25" s="34" t="str">
        <f aca="false">Data!A25</f>
        <v>Malawi</v>
      </c>
      <c r="B25" s="34" t="str">
        <f aca="false">Data!B25</f>
        <v>MWI</v>
      </c>
      <c r="C25" s="35" t="n">
        <f aca="false">Data!AB25</f>
        <v>1</v>
      </c>
      <c r="D25" s="32" t="n">
        <f aca="false">MIN(Inputs!$D$24,MAX(Inputs!$D$23,(Data!J25/Inputs!$D$65)^Inputs!$D$22))</f>
        <v>0.640287548339541</v>
      </c>
      <c r="E25" s="32" t="n">
        <f aca="false">MIN(1,Data!E25/Data!F25)</f>
        <v>0.941026524164498</v>
      </c>
      <c r="F25" s="32" t="n">
        <f aca="false">MIN(Inputs!$D$27,MAX(Inputs!$D$26,(E25/Inputs!$D$66)^Inputs!$D$25))</f>
        <v>0.969209179448915</v>
      </c>
      <c r="G25" s="32" t="n">
        <f aca="false">MIN(Inputs!$D$37,MAX(Inputs!$D$36,(Data!D25/Inputs!$D$34)^Inputs!$D$35))</f>
        <v>0.825554069257127</v>
      </c>
      <c r="H25" s="11" t="n">
        <f aca="false">Inputs!$C$17*D25*F25</f>
        <v>9.30858854006286</v>
      </c>
      <c r="I25" s="11" t="n">
        <f aca="false">Inputs!$D$17*D25*F25</f>
        <v>15.5143142334381</v>
      </c>
      <c r="J25" s="11" t="n">
        <f aca="false">Inputs!$E$17*D25*F25</f>
        <v>19.8583222188008</v>
      </c>
      <c r="K25" s="11" t="n">
        <f aca="false">Forecast!L25*H25/1000000</f>
        <v>81.4322349983426</v>
      </c>
      <c r="L25" s="11" t="n">
        <f aca="false">Forecast!M25*I25/1000000</f>
        <v>162.222233489657</v>
      </c>
      <c r="M25" s="11" t="n">
        <f aca="false">Forecast!N25*J25/1000000</f>
        <v>234.421867425719</v>
      </c>
      <c r="N25" s="14" t="n">
        <f aca="false">Inputs!$C$19*Forecast!H25+Inputs!$C$18*Forecast!O25</f>
        <v>255354.761007148</v>
      </c>
      <c r="O25" s="14" t="n">
        <f aca="false">Inputs!$D$19*Forecast!H25+Inputs!$D$18*Forecast!P25</f>
        <v>747844.846919678</v>
      </c>
      <c r="P25" s="14" t="n">
        <f aca="false">Inputs!$E$19*Forecast!H25+Inputs!$E$18*Forecast!Q25</f>
        <v>1434522.02349463</v>
      </c>
      <c r="Q25" s="11" t="n">
        <f aca="false">N25*H25/1000000</f>
        <v>2.37699240196163</v>
      </c>
      <c r="R25" s="11" t="n">
        <f aca="false">O25*I25/1000000</f>
        <v>11.6022999529693</v>
      </c>
      <c r="S25" s="11" t="n">
        <f aca="false">P25*J25/1000000</f>
        <v>28.4872005725224</v>
      </c>
      <c r="T25" s="11" t="n">
        <f aca="false">Data!D25*Data!E25*I25/1000000</f>
        <v>91.0746219677782</v>
      </c>
      <c r="U25" s="13" t="n">
        <f aca="false">(L25/T25)^(1/Inputs!$D$8)-1</f>
        <v>0.100995388337744</v>
      </c>
      <c r="V25" s="38" t="n">
        <f aca="false">R25*Inputs!$D$29/(Inputs!$D$30*G25)</f>
        <v>0.585581469112092</v>
      </c>
    </row>
    <row r="26" customFormat="false" ht="15" hidden="false" customHeight="false" outlineLevel="0" collapsed="false">
      <c r="A26" s="34" t="str">
        <f aca="false">Data!A26</f>
        <v>Mali</v>
      </c>
      <c r="B26" s="34" t="str">
        <f aca="false">Data!B26</f>
        <v>MLI</v>
      </c>
      <c r="C26" s="35" t="n">
        <f aca="false">Data!AB26</f>
        <v>1</v>
      </c>
      <c r="D26" s="32" t="n">
        <f aca="false">MIN(Inputs!$D$24,MAX(Inputs!$D$23,(Data!J26/Inputs!$D$65)^Inputs!$D$22))</f>
        <v>0.784314477591846</v>
      </c>
      <c r="E26" s="32" t="n">
        <f aca="false">MIN(1,Data!E26/Data!F26)</f>
        <v>0.883865030414088</v>
      </c>
      <c r="F26" s="32" t="n">
        <f aca="false">MIN(Inputs!$D$27,MAX(Inputs!$D$26,(E26/Inputs!$D$66)^Inputs!$D$25))</f>
        <v>0.910335765117583</v>
      </c>
      <c r="G26" s="32" t="n">
        <f aca="false">MIN(Inputs!$D$37,MAX(Inputs!$D$36,(Data!D26/Inputs!$D$34)^Inputs!$D$35))</f>
        <v>0.834572322021354</v>
      </c>
      <c r="H26" s="11" t="n">
        <f aca="false">Inputs!$C$17*D26*F26</f>
        <v>10.7098428007706</v>
      </c>
      <c r="I26" s="11" t="n">
        <f aca="false">Inputs!$D$17*D26*F26</f>
        <v>17.8497380012843</v>
      </c>
      <c r="J26" s="11" t="n">
        <f aca="false">Inputs!$E$17*D26*F26</f>
        <v>22.8476646416439</v>
      </c>
      <c r="K26" s="11" t="n">
        <f aca="false">Forecast!L26*H26/1000000</f>
        <v>99.8690444155714</v>
      </c>
      <c r="L26" s="11" t="n">
        <f aca="false">Forecast!M26*I26/1000000</f>
        <v>198.025767738492</v>
      </c>
      <c r="M26" s="11" t="n">
        <f aca="false">Forecast!N26*J26/1000000</f>
        <v>285.114307714369</v>
      </c>
      <c r="N26" s="14" t="n">
        <f aca="false">Inputs!$C$19*Forecast!H26+Inputs!$C$18*Forecast!O26</f>
        <v>269708.020335875</v>
      </c>
      <c r="O26" s="14" t="n">
        <f aca="false">Inputs!$D$19*Forecast!H26+Inputs!$D$18*Forecast!P26</f>
        <v>784801.542673357</v>
      </c>
      <c r="P26" s="14" t="n">
        <f aca="false">Inputs!$E$19*Forecast!H26+Inputs!$E$18*Forecast!Q26</f>
        <v>1499681.60382295</v>
      </c>
      <c r="Q26" s="11" t="n">
        <f aca="false">N26*H26/1000000</f>
        <v>2.88853049990426</v>
      </c>
      <c r="R26" s="11" t="n">
        <f aca="false">O26*I26/1000000</f>
        <v>14.0085019197231</v>
      </c>
      <c r="S26" s="11" t="n">
        <f aca="false">P26*J26/1000000</f>
        <v>34.2642223533894</v>
      </c>
      <c r="T26" s="11" t="n">
        <f aca="false">Data!D26*Data!E26*I26/1000000</f>
        <v>109.914758448456</v>
      </c>
      <c r="U26" s="13" t="n">
        <f aca="false">(L26/T26)^(1/Inputs!$D$8)-1</f>
        <v>0.103090004520269</v>
      </c>
      <c r="V26" s="38" t="n">
        <f aca="false">R26*Inputs!$D$29/(Inputs!$D$30*G26)</f>
        <v>0.699385259476086</v>
      </c>
    </row>
    <row r="27" customFormat="false" ht="15" hidden="false" customHeight="false" outlineLevel="0" collapsed="false">
      <c r="A27" s="34" t="str">
        <f aca="false">Data!A27</f>
        <v>Mauritius</v>
      </c>
      <c r="B27" s="34" t="str">
        <f aca="false">Data!B27</f>
        <v>MUS</v>
      </c>
      <c r="C27" s="35" t="n">
        <f aca="false">Data!AB27</f>
        <v>0</v>
      </c>
      <c r="D27" s="32" t="n">
        <f aca="false">MIN(Inputs!$D$24,MAX(Inputs!$D$23,(Data!J27/Inputs!$D$65)^Inputs!$D$22))</f>
        <v>1.3</v>
      </c>
      <c r="E27" s="32" t="n">
        <f aca="false">MIN(1,Data!E27/Data!F27)</f>
        <v>0.113027261014635</v>
      </c>
      <c r="F27" s="32" t="n">
        <f aca="false">MIN(Inputs!$D$27,MAX(Inputs!$D$26,(E27/Inputs!$D$66)^Inputs!$D$25))</f>
        <v>0.25</v>
      </c>
      <c r="G27" s="32" t="n">
        <f aca="false">MIN(Inputs!$D$37,MAX(Inputs!$D$36,(Data!D27/Inputs!$D$34)^Inputs!$D$35))</f>
        <v>0.6</v>
      </c>
      <c r="H27" s="11" t="n">
        <f aca="false">Inputs!$C$17*D27*F27</f>
        <v>4.875</v>
      </c>
      <c r="I27" s="11" t="n">
        <f aca="false">Inputs!$D$17*D27*F27</f>
        <v>8.125</v>
      </c>
      <c r="J27" s="11" t="n">
        <f aca="false">Inputs!$E$17*D27*F27</f>
        <v>10.4</v>
      </c>
      <c r="K27" s="11" t="n">
        <f aca="false">Forecast!L27*H27/1000000</f>
        <v>0.831188419247027</v>
      </c>
      <c r="L27" s="11" t="n">
        <f aca="false">Forecast!M27*I27/1000000</f>
        <v>2.12468246303822</v>
      </c>
      <c r="M27" s="11" t="n">
        <f aca="false">Forecast!N27*J27/1000000</f>
        <v>3.95412656072378</v>
      </c>
      <c r="N27" s="14" t="n">
        <f aca="false">Inputs!$C$19*Forecast!H27+Inputs!$C$18*Forecast!O27</f>
        <v>6691.19699766759</v>
      </c>
      <c r="O27" s="14" t="n">
        <f aca="false">Inputs!$D$19*Forecast!H27+Inputs!$D$18*Forecast!P27</f>
        <v>26396.3197716375</v>
      </c>
      <c r="P27" s="14" t="n">
        <f aca="false">Inputs!$E$19*Forecast!H27+Inputs!$E$18*Forecast!Q27</f>
        <v>65471.1530174644</v>
      </c>
      <c r="Q27" s="11" t="n">
        <f aca="false">N27*H27/1000000</f>
        <v>0.0326195853636295</v>
      </c>
      <c r="R27" s="11" t="n">
        <f aca="false">O27*I27/1000000</f>
        <v>0.214470098144555</v>
      </c>
      <c r="S27" s="11" t="n">
        <f aca="false">P27*J27/1000000</f>
        <v>0.68089999138163</v>
      </c>
      <c r="T27" s="11" t="n">
        <f aca="false">Data!D27*Data!E27*I27/1000000</f>
        <v>0.880683560409932</v>
      </c>
      <c r="U27" s="13" t="n">
        <f aca="false">(L27/T27)^(1/Inputs!$D$8)-1</f>
        <v>0.158099010722839</v>
      </c>
      <c r="V27" s="38" t="n">
        <f aca="false">R27*Inputs!$D$29/(Inputs!$D$30*G27)</f>
        <v>0.0148937568155941</v>
      </c>
    </row>
    <row r="28" customFormat="false" ht="15" hidden="false" customHeight="false" outlineLevel="0" collapsed="false">
      <c r="A28" s="34" t="str">
        <f aca="false">Data!A28</f>
        <v>Mozambique</v>
      </c>
      <c r="B28" s="34" t="str">
        <f aca="false">Data!B28</f>
        <v>MOZ</v>
      </c>
      <c r="C28" s="35" t="n">
        <f aca="false">Data!AB28</f>
        <v>1</v>
      </c>
      <c r="D28" s="32" t="n">
        <f aca="false">MIN(Inputs!$D$24,MAX(Inputs!$D$23,(Data!J28/Inputs!$D$65)^Inputs!$D$22))</f>
        <v>0.621466218807945</v>
      </c>
      <c r="E28" s="32" t="n">
        <f aca="false">MIN(1,Data!E28/Data!F28)</f>
        <v>0.840686664927574</v>
      </c>
      <c r="F28" s="32" t="n">
        <f aca="false">MIN(Inputs!$D$27,MAX(Inputs!$D$26,(E28/Inputs!$D$66)^Inputs!$D$25))</f>
        <v>0.865864257558022</v>
      </c>
      <c r="G28" s="32" t="n">
        <f aca="false">MIN(Inputs!$D$37,MAX(Inputs!$D$36,(Data!D28/Inputs!$D$34)^Inputs!$D$35))</f>
        <v>0.971008475728598</v>
      </c>
      <c r="H28" s="11" t="n">
        <f aca="false">Inputs!$C$17*D28*F28</f>
        <v>8.07158079218298</v>
      </c>
      <c r="I28" s="11" t="n">
        <f aca="false">Inputs!$D$17*D28*F28</f>
        <v>13.4526346536383</v>
      </c>
      <c r="J28" s="11" t="n">
        <f aca="false">Inputs!$E$17*D28*F28</f>
        <v>17.219372356657</v>
      </c>
      <c r="K28" s="11" t="n">
        <f aca="false">Forecast!L28*H28/1000000</f>
        <v>105.198236555911</v>
      </c>
      <c r="L28" s="11" t="n">
        <f aca="false">Forecast!M28*I28/1000000</f>
        <v>211.265684540985</v>
      </c>
      <c r="M28" s="11" t="n">
        <f aca="false">Forecast!N28*J28/1000000</f>
        <v>307.259105718947</v>
      </c>
      <c r="N28" s="14" t="n">
        <f aca="false">Inputs!$C$19*Forecast!H28+Inputs!$C$18*Forecast!O28</f>
        <v>386336.128422424</v>
      </c>
      <c r="O28" s="14" t="n">
        <f aca="false">Inputs!$D$19*Forecast!H28+Inputs!$D$18*Forecast!P28</f>
        <v>1143999.29237269</v>
      </c>
      <c r="P28" s="14" t="n">
        <f aca="false">Inputs!$E$19*Forecast!H28+Inputs!$E$18*Forecast!Q28</f>
        <v>2209115.51318715</v>
      </c>
      <c r="Q28" s="11" t="n">
        <f aca="false">N28*H28/1000000</f>
        <v>3.11834327350078</v>
      </c>
      <c r="R28" s="11" t="n">
        <f aca="false">O28*I28/1000000</f>
        <v>15.3898045243106</v>
      </c>
      <c r="S28" s="11" t="n">
        <f aca="false">P28*J28/1000000</f>
        <v>38.0395826004371</v>
      </c>
      <c r="T28" s="11" t="n">
        <f aca="false">Data!D28*Data!E28*I28/1000000</f>
        <v>114.290592137232</v>
      </c>
      <c r="U28" s="13" t="n">
        <f aca="false">(L28/T28)^(1/Inputs!$D$8)-1</f>
        <v>0.107821390204392</v>
      </c>
      <c r="V28" s="38" t="n">
        <f aca="false">R28*Inputs!$D$29/(Inputs!$D$30*G28)</f>
        <v>0.660387495277475</v>
      </c>
    </row>
    <row r="29" customFormat="false" ht="15" hidden="false" customHeight="false" outlineLevel="0" collapsed="false">
      <c r="A29" s="34" t="str">
        <f aca="false">Data!A29</f>
        <v>Namibia</v>
      </c>
      <c r="B29" s="34" t="str">
        <f aca="false">Data!B29</f>
        <v>NAM</v>
      </c>
      <c r="C29" s="35" t="n">
        <f aca="false">Data!AB29</f>
        <v>0</v>
      </c>
      <c r="D29" s="32" t="n">
        <f aca="false">MIN(Inputs!$D$24,MAX(Inputs!$D$23,(Data!J29/Inputs!$D$65)^Inputs!$D$22))</f>
        <v>1.2185904934227</v>
      </c>
      <c r="E29" s="32" t="n">
        <f aca="false">MIN(1,Data!E29/Data!F29)</f>
        <v>0.664401770156555</v>
      </c>
      <c r="F29" s="32" t="n">
        <f aca="false">MIN(Inputs!$D$27,MAX(Inputs!$D$26,(E29/Inputs!$D$66)^Inputs!$D$25))</f>
        <v>0.684299834215168</v>
      </c>
      <c r="G29" s="32" t="n">
        <f aca="false">MIN(Inputs!$D$37,MAX(Inputs!$D$36,(Data!D29/Inputs!$D$34)^Inputs!$D$35))</f>
        <v>0.6</v>
      </c>
      <c r="H29" s="11" t="n">
        <f aca="false">Inputs!$C$17*D29*F29</f>
        <v>12.50821908938</v>
      </c>
      <c r="I29" s="11" t="n">
        <f aca="false">Inputs!$D$17*D29*F29</f>
        <v>20.8470318156333</v>
      </c>
      <c r="J29" s="11" t="n">
        <f aca="false">Inputs!$E$17*D29*F29</f>
        <v>26.6842007240106</v>
      </c>
      <c r="K29" s="11" t="n">
        <f aca="false">Forecast!L29*H29/1000000</f>
        <v>16.3582583450651</v>
      </c>
      <c r="L29" s="11" t="n">
        <f aca="false">Forecast!M29*I29/1000000</f>
        <v>32.4269844409473</v>
      </c>
      <c r="M29" s="11" t="n">
        <f aca="false">Forecast!N29*J29/1000000</f>
        <v>46.6776439380504</v>
      </c>
      <c r="N29" s="14" t="n">
        <f aca="false">Inputs!$C$19*Forecast!H29+Inputs!$C$18*Forecast!O29</f>
        <v>37804.6816483495</v>
      </c>
      <c r="O29" s="14" t="n">
        <f aca="false">Inputs!$D$19*Forecast!H29+Inputs!$D$18*Forecast!P29</f>
        <v>109962.020366201</v>
      </c>
      <c r="P29" s="14" t="n">
        <f aca="false">Inputs!$E$19*Forecast!H29+Inputs!$E$18*Forecast!Q29</f>
        <v>210079.146570465</v>
      </c>
      <c r="Q29" s="11" t="n">
        <f aca="false">N29*H29/1000000</f>
        <v>0.472869240661818</v>
      </c>
      <c r="R29" s="11" t="n">
        <f aca="false">O29*I29/1000000</f>
        <v>2.2923817370855</v>
      </c>
      <c r="S29" s="11" t="n">
        <f aca="false">P29*J29/1000000</f>
        <v>5.60579411501513</v>
      </c>
      <c r="T29" s="11" t="n">
        <f aca="false">Data!D29*Data!E29*I29/1000000</f>
        <v>18.7663944513324</v>
      </c>
      <c r="U29" s="13" t="n">
        <f aca="false">(L29/T29)^(1/Inputs!$D$8)-1</f>
        <v>0.0954375414553634</v>
      </c>
      <c r="V29" s="38" t="n">
        <f aca="false">R29*Inputs!$D$29/(Inputs!$D$30*G29)</f>
        <v>0.159193176186493</v>
      </c>
    </row>
    <row r="30" customFormat="false" ht="15" hidden="false" customHeight="false" outlineLevel="0" collapsed="false">
      <c r="A30" s="34" t="str">
        <f aca="false">Data!A30</f>
        <v>Niger</v>
      </c>
      <c r="B30" s="34" t="str">
        <f aca="false">Data!B30</f>
        <v>NER</v>
      </c>
      <c r="C30" s="35" t="n">
        <f aca="false">Data!AB30</f>
        <v>1</v>
      </c>
      <c r="D30" s="32" t="n">
        <f aca="false">MIN(Inputs!$D$24,MAX(Inputs!$D$23,(Data!J30/Inputs!$D$65)^Inputs!$D$22))</f>
        <v>0.661746597209705</v>
      </c>
      <c r="E30" s="32" t="n">
        <f aca="false">MIN(1,Data!E30/Data!F30)</f>
        <v>0.384461415117648</v>
      </c>
      <c r="F30" s="32" t="n">
        <f aca="false">MIN(Inputs!$D$27,MAX(Inputs!$D$26,(E30/Inputs!$D$66)^Inputs!$D$25))</f>
        <v>0.39597558953695</v>
      </c>
      <c r="G30" s="32" t="n">
        <f aca="false">MIN(Inputs!$D$37,MAX(Inputs!$D$36,(Data!D30/Inputs!$D$34)^Inputs!$D$35))</f>
        <v>0.863902804501102</v>
      </c>
      <c r="H30" s="11" t="n">
        <f aca="false">Inputs!$C$17*D30*F30</f>
        <v>3.93053248431276</v>
      </c>
      <c r="I30" s="11" t="n">
        <f aca="false">Inputs!$D$17*D30*F30</f>
        <v>6.55088747385459</v>
      </c>
      <c r="J30" s="11" t="n">
        <f aca="false">Inputs!$E$17*D30*F30</f>
        <v>8.38513596653388</v>
      </c>
      <c r="K30" s="11" t="n">
        <f aca="false">Forecast!L30*H30/1000000</f>
        <v>6.19886584640683</v>
      </c>
      <c r="L30" s="11" t="n">
        <f aca="false">Forecast!M30*I30/1000000</f>
        <v>16.5608305676065</v>
      </c>
      <c r="M30" s="11" t="n">
        <f aca="false">Forecast!N30*J30/1000000</f>
        <v>32.7488825935838</v>
      </c>
      <c r="N30" s="14" t="n">
        <f aca="false">Inputs!$C$19*Forecast!H30+Inputs!$C$18*Forecast!O30</f>
        <v>63776.0774880909</v>
      </c>
      <c r="O30" s="14" t="n">
        <f aca="false">Inputs!$D$19*Forecast!H30+Inputs!$D$18*Forecast!P30</f>
        <v>264018.328222735</v>
      </c>
      <c r="P30" s="14" t="n">
        <f aca="false">Inputs!$E$19*Forecast!H30+Inputs!$E$18*Forecast!Q30</f>
        <v>696049.157805356</v>
      </c>
      <c r="Q30" s="11" t="n">
        <f aca="false">N30*H30/1000000</f>
        <v>0.250673944288989</v>
      </c>
      <c r="R30" s="11" t="n">
        <f aca="false">O30*I30/1000000</f>
        <v>1.72955435922234</v>
      </c>
      <c r="S30" s="11" t="n">
        <f aca="false">P30*J30/1000000</f>
        <v>5.83646682758931</v>
      </c>
      <c r="T30" s="11" t="n">
        <f aca="false">Data!D30*Data!E30*I30/1000000</f>
        <v>5.18078344896013</v>
      </c>
      <c r="U30" s="13" t="n">
        <f aca="false">(L30/T30)^(1/Inputs!$D$8)-1</f>
        <v>0.213708646057192</v>
      </c>
      <c r="V30" s="38" t="n">
        <f aca="false">R30*Inputs!$D$29/(Inputs!$D$30*G30)</f>
        <v>0.0834176768406424</v>
      </c>
    </row>
    <row r="31" customFormat="false" ht="15" hidden="false" customHeight="false" outlineLevel="0" collapsed="false">
      <c r="A31" s="34" t="str">
        <f aca="false">Data!A31</f>
        <v>Nigeria</v>
      </c>
      <c r="B31" s="34" t="str">
        <f aca="false">Data!B31</f>
        <v>NGA</v>
      </c>
      <c r="C31" s="35" t="n">
        <f aca="false">Data!AB31</f>
        <v>1</v>
      </c>
      <c r="D31" s="32" t="n">
        <f aca="false">MIN(Inputs!$D$24,MAX(Inputs!$D$23,(Data!J31/Inputs!$D$65)^Inputs!$D$22))</f>
        <v>1.1160459188378</v>
      </c>
      <c r="E31" s="32" t="n">
        <f aca="false">MIN(1,Data!E31/Data!F31)</f>
        <v>0.518337837929468</v>
      </c>
      <c r="F31" s="32" t="n">
        <f aca="false">MIN(Inputs!$D$27,MAX(Inputs!$D$26,(E31/Inputs!$D$66)^Inputs!$D$25))</f>
        <v>0.533861456267651</v>
      </c>
      <c r="G31" s="32" t="n">
        <f aca="false">MIN(Inputs!$D$37,MAX(Inputs!$D$36,(Data!D31/Inputs!$D$34)^Inputs!$D$35))</f>
        <v>2</v>
      </c>
      <c r="H31" s="11" t="n">
        <f aca="false">Inputs!$C$17*D31*F31</f>
        <v>8.93720849238477</v>
      </c>
      <c r="I31" s="11" t="n">
        <f aca="false">Inputs!$D$17*D31*F31</f>
        <v>14.8953474873079</v>
      </c>
      <c r="J31" s="11" t="n">
        <f aca="false">Inputs!$E$17*D31*F31</f>
        <v>19.0660447837542</v>
      </c>
      <c r="K31" s="11" t="n">
        <f aca="false">Forecast!L31*H31/1000000</f>
        <v>613.229640357631</v>
      </c>
      <c r="L31" s="11" t="n">
        <f aca="false">Forecast!M31*I31/1000000</f>
        <v>1320.97118916783</v>
      </c>
      <c r="M31" s="11" t="n">
        <f aca="false">Forecast!N31*J31/1000000</f>
        <v>2039.83972530948</v>
      </c>
      <c r="N31" s="14" t="n">
        <f aca="false">Inputs!$C$19*Forecast!H31+Inputs!$C$18*Forecast!O31</f>
        <v>2273271.61183021</v>
      </c>
      <c r="O31" s="14" t="n">
        <f aca="false">Inputs!$D$19*Forecast!H31+Inputs!$D$18*Forecast!P31</f>
        <v>7365371.92176159</v>
      </c>
      <c r="P31" s="14" t="n">
        <f aca="false">Inputs!$E$19*Forecast!H31+Inputs!$E$18*Forecast!Q31</f>
        <v>15126418.1869034</v>
      </c>
      <c r="Q31" s="11" t="n">
        <f aca="false">N31*H31/1000000</f>
        <v>20.3167023547461</v>
      </c>
      <c r="R31" s="11" t="n">
        <f aca="false">O31*I31/1000000</f>
        <v>109.7097741479</v>
      </c>
      <c r="S31" s="11" t="n">
        <f aca="false">P31*J31/1000000</f>
        <v>288.400966569294</v>
      </c>
      <c r="T31" s="11" t="n">
        <f aca="false">Data!D31*Data!E31*I31/1000000</f>
        <v>651.219497759805</v>
      </c>
      <c r="U31" s="13" t="n">
        <f aca="false">(L31/T31)^(1/Inputs!$D$8)-1</f>
        <v>0.125108291142284</v>
      </c>
      <c r="V31" s="38" t="n">
        <f aca="false">R31*Inputs!$D$29/(Inputs!$D$30*G31)</f>
        <v>2.28562029474792</v>
      </c>
    </row>
    <row r="32" customFormat="false" ht="15" hidden="false" customHeight="false" outlineLevel="0" collapsed="false">
      <c r="A32" s="34" t="str">
        <f aca="false">Data!A32</f>
        <v>Senegal</v>
      </c>
      <c r="B32" s="34" t="str">
        <f aca="false">Data!B32</f>
        <v>SEN</v>
      </c>
      <c r="C32" s="35" t="n">
        <f aca="false">Data!AB32</f>
        <v>1</v>
      </c>
      <c r="D32" s="32" t="n">
        <f aca="false">MIN(Inputs!$D$24,MAX(Inputs!$D$23,(Data!J32/Inputs!$D$65)^Inputs!$D$22))</f>
        <v>0.911144234046969</v>
      </c>
      <c r="E32" s="32" t="n">
        <f aca="false">MIN(1,Data!E32/Data!F32)</f>
        <v>0.875122139839836</v>
      </c>
      <c r="F32" s="32" t="n">
        <f aca="false">MIN(Inputs!$D$27,MAX(Inputs!$D$26,(E32/Inputs!$D$66)^Inputs!$D$25))</f>
        <v>0.901331035089377</v>
      </c>
      <c r="G32" s="32" t="n">
        <f aca="false">MIN(Inputs!$D$37,MAX(Inputs!$D$36,(Data!D32/Inputs!$D$34)^Inputs!$D$35))</f>
        <v>0.790000989173696</v>
      </c>
      <c r="H32" s="11" t="n">
        <f aca="false">Inputs!$C$17*D32*F32</f>
        <v>12.3186386338391</v>
      </c>
      <c r="I32" s="11" t="n">
        <f aca="false">Inputs!$D$17*D32*F32</f>
        <v>20.5310643897318</v>
      </c>
      <c r="J32" s="11" t="n">
        <f aca="false">Inputs!$E$17*D32*F32</f>
        <v>26.2797624188567</v>
      </c>
      <c r="K32" s="11" t="n">
        <f aca="false">Forecast!L32*H32/1000000</f>
        <v>121.646134184498</v>
      </c>
      <c r="L32" s="11" t="n">
        <f aca="false">Forecast!M32*I32/1000000</f>
        <v>223.560551411122</v>
      </c>
      <c r="M32" s="11" t="n">
        <f aca="false">Forecast!N32*J32/1000000</f>
        <v>304.443435651597</v>
      </c>
      <c r="N32" s="14" t="n">
        <f aca="false">Inputs!$C$19*Forecast!H32+Inputs!$C$18*Forecast!O32</f>
        <v>236266.335435203</v>
      </c>
      <c r="O32" s="14" t="n">
        <f aca="false">Inputs!$D$19*Forecast!H32+Inputs!$D$18*Forecast!P32</f>
        <v>611061.391835128</v>
      </c>
      <c r="P32" s="14" t="n">
        <f aca="false">Inputs!$E$19*Forecast!H32+Inputs!$E$18*Forecast!Q32</f>
        <v>1100416.94250086</v>
      </c>
      <c r="Q32" s="11" t="n">
        <f aca="false">N32*H32/1000000</f>
        <v>2.91047960756767</v>
      </c>
      <c r="R32" s="11" t="n">
        <f aca="false">O32*I32/1000000</f>
        <v>12.5457407818461</v>
      </c>
      <c r="S32" s="11" t="n">
        <f aca="false">P32*J32/1000000</f>
        <v>28.9186958106073</v>
      </c>
      <c r="T32" s="11" t="n">
        <f aca="false">Data!D32*Data!E32*I32/1000000</f>
        <v>152.411862956351</v>
      </c>
      <c r="U32" s="13" t="n">
        <f aca="false">(L32/T32)^(1/Inputs!$D$8)-1</f>
        <v>0.0659317542519247</v>
      </c>
      <c r="V32" s="38" t="n">
        <f aca="false">R32*Inputs!$D$29/(Inputs!$D$30*G32)</f>
        <v>0.661694360396119</v>
      </c>
    </row>
    <row r="33" customFormat="false" ht="15" hidden="false" customHeight="false" outlineLevel="0" collapsed="false">
      <c r="A33" s="34" t="str">
        <f aca="false">Data!A33</f>
        <v>Sierra Leone</v>
      </c>
      <c r="B33" s="34" t="str">
        <f aca="false">Data!B33</f>
        <v>SLE</v>
      </c>
      <c r="C33" s="35" t="n">
        <f aca="false">Data!AB33</f>
        <v>1</v>
      </c>
      <c r="D33" s="32" t="n">
        <f aca="false">MIN(Inputs!$D$24,MAX(Inputs!$D$23,(Data!J33/Inputs!$D$65)^Inputs!$D$22))</f>
        <v>0.800995029887641</v>
      </c>
      <c r="E33" s="32" t="n">
        <f aca="false">MIN(1,Data!E33/Data!F33)</f>
        <v>0.833642968745711</v>
      </c>
      <c r="F33" s="32" t="n">
        <f aca="false">MIN(Inputs!$D$27,MAX(Inputs!$D$26,(E33/Inputs!$D$66)^Inputs!$D$25))</f>
        <v>0.858609610827663</v>
      </c>
      <c r="G33" s="32" t="n">
        <f aca="false">MIN(Inputs!$D$37,MAX(Inputs!$D$36,(Data!D33/Inputs!$D$34)^Inputs!$D$35))</f>
        <v>0.6</v>
      </c>
      <c r="H33" s="11" t="n">
        <f aca="false">Inputs!$C$17*D33*F33</f>
        <v>10.3161304633008</v>
      </c>
      <c r="I33" s="11" t="n">
        <f aca="false">Inputs!$D$17*D33*F33</f>
        <v>17.193550772168</v>
      </c>
      <c r="J33" s="11" t="n">
        <f aca="false">Inputs!$E$17*D33*F33</f>
        <v>22.007744988375</v>
      </c>
      <c r="K33" s="11" t="n">
        <f aca="false">Forecast!L33*H33/1000000</f>
        <v>27.2653315313933</v>
      </c>
      <c r="L33" s="11" t="n">
        <f aca="false">Forecast!M33*I33/1000000</f>
        <v>58.9452391911679</v>
      </c>
      <c r="M33" s="11" t="n">
        <f aca="false">Forecast!N33*J33/1000000</f>
        <v>91.3243021781864</v>
      </c>
      <c r="N33" s="14" t="n">
        <f aca="false">Inputs!$C$19*Forecast!H33+Inputs!$C$18*Forecast!O33</f>
        <v>87987.9293920538</v>
      </c>
      <c r="O33" s="14" t="n">
        <f aca="false">Inputs!$D$19*Forecast!H33+Inputs!$D$18*Forecast!P33</f>
        <v>286341.505972322</v>
      </c>
      <c r="P33" s="14" t="n">
        <f aca="false">Inputs!$E$19*Forecast!H33+Inputs!$E$18*Forecast!Q33</f>
        <v>590051.068552593</v>
      </c>
      <c r="Q33" s="11" t="n">
        <f aca="false">N33*H33/1000000</f>
        <v>0.907694958804126</v>
      </c>
      <c r="R33" s="11" t="n">
        <f aca="false">O33*I33/1000000</f>
        <v>4.92322722111416</v>
      </c>
      <c r="S33" s="11" t="n">
        <f aca="false">P33*J33/1000000</f>
        <v>12.9856934468237</v>
      </c>
      <c r="T33" s="11" t="n">
        <f aca="false">Data!D33*Data!E33*I33/1000000</f>
        <v>28.7880104986431</v>
      </c>
      <c r="U33" s="13" t="n">
        <f aca="false">(L33/T33)^(1/Inputs!$D$8)-1</f>
        <v>0.126867482908619</v>
      </c>
      <c r="V33" s="38" t="n">
        <f aca="false">R33*Inputs!$D$29/(Inputs!$D$30*G33)</f>
        <v>0.341890779244039</v>
      </c>
    </row>
    <row r="34" customFormat="false" ht="15" hidden="false" customHeight="false" outlineLevel="0" collapsed="false">
      <c r="A34" s="34" t="str">
        <f aca="false">Data!A34</f>
        <v>South Africa</v>
      </c>
      <c r="B34" s="34" t="str">
        <f aca="false">Data!B34</f>
        <v>ZAF</v>
      </c>
      <c r="C34" s="35" t="n">
        <f aca="false">Data!AB34</f>
        <v>1</v>
      </c>
      <c r="D34" s="32" t="n">
        <f aca="false">MIN(Inputs!$D$24,MAX(Inputs!$D$23,(Data!J34/Inputs!$D$65)^Inputs!$D$22))</f>
        <v>1.3</v>
      </c>
      <c r="E34" s="32" t="n">
        <f aca="false">MIN(1,Data!E34/Data!F34)</f>
        <v>0.389803698501548</v>
      </c>
      <c r="F34" s="32" t="n">
        <f aca="false">MIN(Inputs!$D$27,MAX(Inputs!$D$26,(E34/Inputs!$D$66)^Inputs!$D$25))</f>
        <v>0.401477868125209</v>
      </c>
      <c r="G34" s="32" t="n">
        <f aca="false">MIN(Inputs!$D$37,MAX(Inputs!$D$36,(Data!D34/Inputs!$D$34)^Inputs!$D$35))</f>
        <v>1.40411326228836</v>
      </c>
      <c r="H34" s="11" t="n">
        <f aca="false">Inputs!$C$17*D34*F34</f>
        <v>7.82881842844157</v>
      </c>
      <c r="I34" s="11" t="n">
        <f aca="false">Inputs!$D$17*D34*F34</f>
        <v>13.0480307140693</v>
      </c>
      <c r="J34" s="11" t="n">
        <f aca="false">Inputs!$E$17*D34*F34</f>
        <v>16.7014793140087</v>
      </c>
      <c r="K34" s="11" t="n">
        <f aca="false">Forecast!L34*H34/1000000</f>
        <v>173.999473633061</v>
      </c>
      <c r="L34" s="11" t="n">
        <f aca="false">Forecast!M34*I34/1000000</f>
        <v>377.493922132558</v>
      </c>
      <c r="M34" s="11" t="n">
        <f aca="false">Forecast!N34*J34/1000000</f>
        <v>586.74866630772</v>
      </c>
      <c r="N34" s="14" t="n">
        <f aca="false">Inputs!$C$19*Forecast!H34+Inputs!$C$18*Forecast!O34</f>
        <v>743345.989496365</v>
      </c>
      <c r="O34" s="14" t="n">
        <f aca="false">Inputs!$D$19*Forecast!H34+Inputs!$D$18*Forecast!P34</f>
        <v>2429459.8272769</v>
      </c>
      <c r="P34" s="14" t="n">
        <f aca="false">Inputs!$E$19*Forecast!H34+Inputs!$E$18*Forecast!Q34</f>
        <v>5022813.84843417</v>
      </c>
      <c r="Q34" s="11" t="n">
        <f aca="false">N34*H34/1000000</f>
        <v>5.81952078127727</v>
      </c>
      <c r="R34" s="11" t="n">
        <f aca="false">O34*I34/1000000</f>
        <v>31.6996664449065</v>
      </c>
      <c r="S34" s="11" t="n">
        <f aca="false">P34*J34/1000000</f>
        <v>83.8884215877396</v>
      </c>
      <c r="T34" s="11" t="n">
        <f aca="false">Data!D34*Data!E34*I34/1000000</f>
        <v>192.790734188236</v>
      </c>
      <c r="U34" s="13" t="n">
        <f aca="false">(L34/T34)^(1/Inputs!$D$8)-1</f>
        <v>0.118503380620683</v>
      </c>
      <c r="V34" s="38" t="n">
        <f aca="false">R34*Inputs!$D$29/(Inputs!$D$30*G34)</f>
        <v>0.940678697850786</v>
      </c>
    </row>
    <row r="35" customFormat="false" ht="15" hidden="false" customHeight="false" outlineLevel="0" collapsed="false">
      <c r="A35" s="34" t="str">
        <f aca="false">Data!A35</f>
        <v>Tanzania</v>
      </c>
      <c r="B35" s="34" t="str">
        <f aca="false">Data!B35</f>
        <v>TZA</v>
      </c>
      <c r="C35" s="35" t="n">
        <f aca="false">Data!AB35</f>
        <v>1</v>
      </c>
      <c r="D35" s="32" t="n">
        <f aca="false">MIN(Inputs!$D$24,MAX(Inputs!$D$23,(Data!J35/Inputs!$D$65)^Inputs!$D$22))</f>
        <v>0.853352363132573</v>
      </c>
      <c r="E35" s="32" t="n">
        <f aca="false">MIN(1,Data!E35/Data!F35)</f>
        <v>0.883439243969868</v>
      </c>
      <c r="F35" s="32" t="n">
        <f aca="false">MIN(Inputs!$D$27,MAX(Inputs!$D$26,(E35/Inputs!$D$66)^Inputs!$D$25))</f>
        <v>0.909897226862151</v>
      </c>
      <c r="G35" s="32" t="n">
        <f aca="false">MIN(Inputs!$D$37,MAX(Inputs!$D$36,(Data!D35/Inputs!$D$34)^Inputs!$D$35))</f>
        <v>1.29483073985321</v>
      </c>
      <c r="H35" s="11" t="n">
        <f aca="false">Inputs!$C$17*D35*F35</f>
        <v>11.6469442312589</v>
      </c>
      <c r="I35" s="11" t="n">
        <f aca="false">Inputs!$D$17*D35*F35</f>
        <v>19.4115737187648</v>
      </c>
      <c r="J35" s="11" t="n">
        <f aca="false">Inputs!$E$17*D35*F35</f>
        <v>24.8468143600189</v>
      </c>
      <c r="K35" s="11" t="n">
        <f aca="false">Forecast!L35*H35/1000000</f>
        <v>346.14376645472</v>
      </c>
      <c r="L35" s="11" t="n">
        <f aca="false">Forecast!M35*I35/1000000</f>
        <v>672.623861292295</v>
      </c>
      <c r="M35" s="11" t="n">
        <f aca="false">Forecast!N35*J35/1000000</f>
        <v>953.502429572059</v>
      </c>
      <c r="N35" s="14" t="n">
        <f aca="false">Inputs!$C$19*Forecast!H35+Inputs!$C$18*Forecast!O35</f>
        <v>823780.182306094</v>
      </c>
      <c r="O35" s="14" t="n">
        <f aca="false">Inputs!$D$19*Forecast!H35+Inputs!$D$18*Forecast!P35</f>
        <v>2329052.04296964</v>
      </c>
      <c r="P35" s="14" t="n">
        <f aca="false">Inputs!$E$19*Forecast!H35+Inputs!$E$18*Forecast!Q35</f>
        <v>4378777.414498</v>
      </c>
      <c r="Q35" s="11" t="n">
        <f aca="false">N35*H35/1000000</f>
        <v>9.59452184213535</v>
      </c>
      <c r="R35" s="11" t="n">
        <f aca="false">O35*I35/1000000</f>
        <v>45.2105654269449</v>
      </c>
      <c r="S35" s="11" t="n">
        <f aca="false">P35*J35/1000000</f>
        <v>108.798669541876</v>
      </c>
      <c r="T35" s="11" t="n">
        <f aca="false">Data!D35*Data!E35*I35/1000000</f>
        <v>391.472240003174</v>
      </c>
      <c r="U35" s="13" t="n">
        <f aca="false">(L35/T35)^(1/Inputs!$D$8)-1</f>
        <v>0.0944062128177512</v>
      </c>
      <c r="V35" s="38" t="n">
        <f aca="false">R35*Inputs!$D$29/(Inputs!$D$30*G35)</f>
        <v>1.45484154915074</v>
      </c>
    </row>
    <row r="36" customFormat="false" ht="15" hidden="false" customHeight="false" outlineLevel="0" collapsed="false">
      <c r="A36" s="34" t="str">
        <f aca="false">Data!A36</f>
        <v>Togo</v>
      </c>
      <c r="B36" s="34" t="str">
        <f aca="false">Data!B36</f>
        <v>TGO</v>
      </c>
      <c r="C36" s="35" t="n">
        <f aca="false">Data!AB36</f>
        <v>1</v>
      </c>
      <c r="D36" s="32" t="n">
        <f aca="false">MIN(Inputs!$D$24,MAX(Inputs!$D$23,(Data!J36/Inputs!$D$65)^Inputs!$D$22))</f>
        <v>0.823258618109434</v>
      </c>
      <c r="E36" s="32" t="n">
        <f aca="false">MIN(1,Data!E36/Data!F36)</f>
        <v>0.835615008409598</v>
      </c>
      <c r="F36" s="32" t="n">
        <f aca="false">MIN(Inputs!$D$27,MAX(Inputs!$D$26,(E36/Inputs!$D$66)^Inputs!$D$25))</f>
        <v>0.860640710797107</v>
      </c>
      <c r="G36" s="32" t="n">
        <f aca="false">MIN(Inputs!$D$37,MAX(Inputs!$D$36,(Data!D36/Inputs!$D$34)^Inputs!$D$35))</f>
        <v>0.600706581766528</v>
      </c>
      <c r="H36" s="11" t="n">
        <f aca="false">Inputs!$C$17*D36*F36</f>
        <v>10.6279482338932</v>
      </c>
      <c r="I36" s="11" t="n">
        <f aca="false">Inputs!$D$17*D36*F36</f>
        <v>17.7132470564887</v>
      </c>
      <c r="J36" s="11" t="n">
        <f aca="false">Inputs!$E$17*D36*F36</f>
        <v>22.6729562323055</v>
      </c>
      <c r="K36" s="11" t="n">
        <f aca="false">Forecast!L36*H36/1000000</f>
        <v>41.4514041780409</v>
      </c>
      <c r="L36" s="11" t="n">
        <f aca="false">Forecast!M36*I36/1000000</f>
        <v>82.3448632141738</v>
      </c>
      <c r="M36" s="11" t="n">
        <f aca="false">Forecast!N36*J36/1000000</f>
        <v>118.731562681409</v>
      </c>
      <c r="N36" s="14" t="n">
        <f aca="false">Inputs!$C$19*Forecast!H36+Inputs!$C$18*Forecast!O36</f>
        <v>113223.370567043</v>
      </c>
      <c r="O36" s="14" t="n">
        <f aca="false">Inputs!$D$19*Forecast!H36+Inputs!$D$18*Forecast!P36</f>
        <v>330310.26268941</v>
      </c>
      <c r="P36" s="14" t="n">
        <f aca="false">Inputs!$E$19*Forecast!H36+Inputs!$E$18*Forecast!Q36</f>
        <v>632150.193896507</v>
      </c>
      <c r="Q36" s="11" t="n">
        <f aca="false">N36*H36/1000000</f>
        <v>1.20333212125344</v>
      </c>
      <c r="R36" s="11" t="n">
        <f aca="false">O36*I36/1000000</f>
        <v>5.85086728831119</v>
      </c>
      <c r="S36" s="11" t="n">
        <f aca="false">P36*J36/1000000</f>
        <v>14.332713678459</v>
      </c>
      <c r="T36" s="11" t="n">
        <f aca="false">Data!D36*Data!E36*I36/1000000</f>
        <v>47.550110804951</v>
      </c>
      <c r="U36" s="13" t="n">
        <f aca="false">(L36/T36)^(1/Inputs!$D$8)-1</f>
        <v>0.0958408772417407</v>
      </c>
      <c r="V36" s="38" t="n">
        <f aca="false">R36*Inputs!$D$29/(Inputs!$D$30*G36)</f>
        <v>0.405832305509375</v>
      </c>
    </row>
    <row r="37" customFormat="false" ht="15" hidden="false" customHeight="false" outlineLevel="0" collapsed="false">
      <c r="A37" s="34" t="str">
        <f aca="false">Data!A37</f>
        <v>Uganda</v>
      </c>
      <c r="B37" s="34" t="str">
        <f aca="false">Data!B37</f>
        <v>UGA</v>
      </c>
      <c r="C37" s="35" t="n">
        <f aca="false">Data!AB37</f>
        <v>1</v>
      </c>
      <c r="D37" s="32" t="n">
        <f aca="false">MIN(Inputs!$D$24,MAX(Inputs!$D$23,(Data!J37/Inputs!$D$65)^Inputs!$D$22))</f>
        <v>0.780699420524331</v>
      </c>
      <c r="E37" s="32" t="n">
        <f aca="false">MIN(1,Data!E37/Data!F37)</f>
        <v>0.930121327559697</v>
      </c>
      <c r="F37" s="32" t="n">
        <f aca="false">MIN(Inputs!$D$27,MAX(Inputs!$D$26,(E37/Inputs!$D$66)^Inputs!$D$25))</f>
        <v>0.957977384827129</v>
      </c>
      <c r="G37" s="32" t="n">
        <f aca="false">MIN(Inputs!$D$37,MAX(Inputs!$D$36,(Data!D37/Inputs!$D$34)^Inputs!$D$35))</f>
        <v>1.13217081266373</v>
      </c>
      <c r="H37" s="11" t="n">
        <f aca="false">Inputs!$C$17*D37*F37</f>
        <v>11.2183858381493</v>
      </c>
      <c r="I37" s="11" t="n">
        <f aca="false">Inputs!$D$17*D37*F37</f>
        <v>18.6973097302488</v>
      </c>
      <c r="J37" s="11" t="n">
        <f aca="false">Inputs!$E$17*D37*F37</f>
        <v>23.9325564547185</v>
      </c>
      <c r="K37" s="11" t="n">
        <f aca="false">Forecast!L37*H37/1000000</f>
        <v>281.701194337985</v>
      </c>
      <c r="L37" s="11" t="n">
        <f aca="false">Forecast!M37*I37/1000000</f>
        <v>516.181818023834</v>
      </c>
      <c r="M37" s="11" t="n">
        <f aca="false">Forecast!N37*J37/1000000</f>
        <v>701.513391991392</v>
      </c>
      <c r="N37" s="14" t="n">
        <f aca="false">Inputs!$C$19*Forecast!H37+Inputs!$C$18*Forecast!O37</f>
        <v>595199.6860456</v>
      </c>
      <c r="O37" s="14" t="n">
        <f aca="false">Inputs!$D$19*Forecast!H37+Inputs!$D$18*Forecast!P37</f>
        <v>1531268.88630141</v>
      </c>
      <c r="P37" s="14" t="n">
        <f aca="false">Inputs!$E$19*Forecast!H37+Inputs!$E$18*Forecast!Q37</f>
        <v>2751412.23940249</v>
      </c>
      <c r="Q37" s="11" t="n">
        <f aca="false">N37*H37/1000000</f>
        <v>6.67717972880487</v>
      </c>
      <c r="R37" s="11" t="n">
        <f aca="false">O37*I37/1000000</f>
        <v>28.6306086474706</v>
      </c>
      <c r="S37" s="11" t="n">
        <f aca="false">P37*J37/1000000</f>
        <v>65.8483287497035</v>
      </c>
      <c r="T37" s="11" t="n">
        <f aca="false">Data!D37*Data!E37*I37/1000000</f>
        <v>345.480284305291</v>
      </c>
      <c r="U37" s="13" t="n">
        <f aca="false">(L37/T37)^(1/Inputs!$D$8)-1</f>
        <v>0.0692105592740042</v>
      </c>
      <c r="V37" s="38" t="n">
        <f aca="false">R37*Inputs!$D$29/(Inputs!$D$30*G37)</f>
        <v>1.05367671877288</v>
      </c>
    </row>
    <row r="38" customFormat="false" ht="15" hidden="false" customHeight="false" outlineLevel="0" collapsed="false">
      <c r="A38" s="34" t="str">
        <f aca="false">Data!A38</f>
        <v>Zambia</v>
      </c>
      <c r="B38" s="34" t="str">
        <f aca="false">Data!B38</f>
        <v>ZMB</v>
      </c>
      <c r="C38" s="35" t="n">
        <f aca="false">Data!AB38</f>
        <v>1</v>
      </c>
      <c r="D38" s="32" t="n">
        <f aca="false">MIN(Inputs!$D$24,MAX(Inputs!$D$23,(Data!J38/Inputs!$D$65)^Inputs!$D$22))</f>
        <v>0.852934406173172</v>
      </c>
      <c r="E38" s="32" t="n">
        <f aca="false">MIN(1,Data!E38/Data!F38)</f>
        <v>0.953348552981018</v>
      </c>
      <c r="F38" s="32" t="n">
        <f aca="false">MIN(Inputs!$D$27,MAX(Inputs!$D$26,(E38/Inputs!$D$66)^Inputs!$D$25))</f>
        <v>0.981900238767364</v>
      </c>
      <c r="G38" s="32" t="n">
        <f aca="false">MIN(Inputs!$D$37,MAX(Inputs!$D$36,(Data!D38/Inputs!$D$34)^Inputs!$D$35))</f>
        <v>0.815985985761243</v>
      </c>
      <c r="H38" s="11" t="n">
        <f aca="false">Inputs!$C$17*D38*F38</f>
        <v>12.5624474561151</v>
      </c>
      <c r="I38" s="11" t="n">
        <f aca="false">Inputs!$D$17*D38*F38</f>
        <v>20.9374124268584</v>
      </c>
      <c r="J38" s="11" t="n">
        <f aca="false">Inputs!$E$17*D38*F38</f>
        <v>26.7998879063788</v>
      </c>
      <c r="K38" s="11" t="n">
        <f aca="false">Forecast!L38*H38/1000000</f>
        <v>141.755006395692</v>
      </c>
      <c r="L38" s="11" t="n">
        <f aca="false">Forecast!M38*I38/1000000</f>
        <v>258.313630610839</v>
      </c>
      <c r="M38" s="11" t="n">
        <f aca="false">Forecast!N38*J38/1000000</f>
        <v>349.740458954928</v>
      </c>
      <c r="N38" s="14" t="n">
        <f aca="false">Inputs!$C$19*Forecast!H38+Inputs!$C$18*Forecast!O38</f>
        <v>262679.364425211</v>
      </c>
      <c r="O38" s="14" t="n">
        <f aca="false">Inputs!$D$19*Forecast!H38+Inputs!$D$18*Forecast!P38</f>
        <v>668995.26752346</v>
      </c>
      <c r="P38" s="14" t="n">
        <f aca="false">Inputs!$E$19*Forecast!H38+Inputs!$E$18*Forecast!Q38</f>
        <v>1197057.52664596</v>
      </c>
      <c r="Q38" s="11" t="n">
        <f aca="false">N38*H38/1000000</f>
        <v>3.29989571339741</v>
      </c>
      <c r="R38" s="11" t="n">
        <f aca="false">O38*I38/1000000</f>
        <v>14.0070298277552</v>
      </c>
      <c r="S38" s="11" t="n">
        <f aca="false">P38*J38/1000000</f>
        <v>32.0810075315986</v>
      </c>
      <c r="T38" s="11" t="n">
        <f aca="false">Data!D38*Data!E38*I38/1000000</f>
        <v>174.566280983702</v>
      </c>
      <c r="U38" s="13" t="n">
        <f aca="false">(L38/T38)^(1/Inputs!$D$8)-1</f>
        <v>0.0674916680541371</v>
      </c>
      <c r="V38" s="38" t="n">
        <f aca="false">R38*Inputs!$D$29/(Inputs!$D$30*G38)</f>
        <v>0.715240522517872</v>
      </c>
    </row>
    <row r="39" customFormat="false" ht="15" hidden="false" customHeight="false" outlineLevel="0" collapsed="false">
      <c r="A39" s="34" t="str">
        <f aca="false">Data!A39</f>
        <v>Zimbabwe</v>
      </c>
      <c r="B39" s="34" t="str">
        <f aca="false">Data!B39</f>
        <v>ZWE</v>
      </c>
      <c r="C39" s="35" t="n">
        <f aca="false">Data!AB39</f>
        <v>1</v>
      </c>
      <c r="D39" s="32" t="n">
        <f aca="false">MIN(Inputs!$D$24,MAX(Inputs!$D$23,(Data!J39/Inputs!$D$65)^Inputs!$D$22))</f>
        <v>0.960865176735694</v>
      </c>
      <c r="E39" s="32" t="n">
        <f aca="false">MIN(1,Data!E39/Data!F39)</f>
        <v>0.875006770720019</v>
      </c>
      <c r="F39" s="32" t="n">
        <f aca="false">MIN(Inputs!$D$27,MAX(Inputs!$D$26,(E39/Inputs!$D$66)^Inputs!$D$25))</f>
        <v>0.901212210797946</v>
      </c>
      <c r="G39" s="32" t="n">
        <f aca="false">MIN(Inputs!$D$37,MAX(Inputs!$D$36,(Data!D39/Inputs!$D$34)^Inputs!$D$35))</f>
        <v>0.74521894379968</v>
      </c>
      <c r="H39" s="11" t="n">
        <f aca="false">Inputs!$C$17*D39*F39</f>
        <v>12.989151453071</v>
      </c>
      <c r="I39" s="11" t="n">
        <f aca="false">Inputs!$D$17*D39*F39</f>
        <v>21.6485857551184</v>
      </c>
      <c r="J39" s="11" t="n">
        <f aca="false">Inputs!$E$17*D39*F39</f>
        <v>27.7101897665515</v>
      </c>
      <c r="K39" s="11" t="n">
        <f aca="false">Forecast!L39*H39/1000000</f>
        <v>78.4436291271656</v>
      </c>
      <c r="L39" s="11" t="n">
        <f aca="false">Forecast!M39*I39/1000000</f>
        <v>159.415888565654</v>
      </c>
      <c r="M39" s="11" t="n">
        <f aca="false">Forecast!N39*J39/1000000</f>
        <v>234.08809694246</v>
      </c>
      <c r="N39" s="14" t="n">
        <f aca="false">Inputs!$C$19*Forecast!H39+Inputs!$C$18*Forecast!O39</f>
        <v>182908.658824428</v>
      </c>
      <c r="O39" s="14" t="n">
        <f aca="false">Inputs!$D$19*Forecast!H39+Inputs!$D$18*Forecast!P39</f>
        <v>550309.532420513</v>
      </c>
      <c r="P39" s="14" t="n">
        <f aca="false">Inputs!$E$19*Forecast!H39+Inputs!$E$18*Forecast!Q39</f>
        <v>1073297.11984912</v>
      </c>
      <c r="Q39" s="11" t="n">
        <f aca="false">N39*H39/1000000</f>
        <v>2.37582827154859</v>
      </c>
      <c r="R39" s="11" t="n">
        <f aca="false">O39*I39/1000000</f>
        <v>11.9134231044646</v>
      </c>
      <c r="S39" s="11" t="n">
        <f aca="false">P39*J39/1000000</f>
        <v>29.7412668669124</v>
      </c>
      <c r="T39" s="11" t="n">
        <f aca="false">Data!D39*Data!E39*I39/1000000</f>
        <v>89.9446506012908</v>
      </c>
      <c r="U39" s="13" t="n">
        <f aca="false">(L39/T39)^(1/Inputs!$D$8)-1</f>
        <v>0.100084496456626</v>
      </c>
      <c r="V39" s="38" t="n">
        <f aca="false">R39*Inputs!$D$29/(Inputs!$D$30*G39)</f>
        <v>0.666103074113645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1F5E"/>
    <pageSetUpPr fitToPage="false"/>
  </sheetPr>
  <dimension ref="A1:AU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7"/>
    <col collapsed="false" customWidth="true" hidden="false" outlineLevel="0" max="3" min="3" style="0" width="10"/>
    <col collapsed="false" customWidth="true" hidden="false" outlineLevel="0" max="46" min="4" style="0" width="12"/>
    <col collapsed="false" customWidth="true" hidden="false" outlineLevel="0" max="47" min="47" style="0" width="16"/>
  </cols>
  <sheetData>
    <row r="1" customFormat="false" ht="17.35" hidden="false" customHeight="false" outlineLevel="0" collapsed="false">
      <c r="A1" s="1" t="s">
        <v>323</v>
      </c>
    </row>
    <row r="2" customFormat="false" ht="15" hidden="false" customHeight="false" outlineLevel="0" collapsed="false">
      <c r="A2" s="2" t="s">
        <v>324</v>
      </c>
    </row>
    <row r="5" customFormat="false" ht="69.75" hidden="false" customHeight="true" outlineLevel="0" collapsed="false">
      <c r="A5" s="9" t="s">
        <v>189</v>
      </c>
      <c r="B5" s="9" t="s">
        <v>37</v>
      </c>
      <c r="C5" s="9" t="s">
        <v>215</v>
      </c>
      <c r="D5" s="9" t="s">
        <v>325</v>
      </c>
      <c r="E5" s="9" t="s">
        <v>326</v>
      </c>
      <c r="F5" s="9" t="s">
        <v>327</v>
      </c>
      <c r="G5" s="9" t="s">
        <v>328</v>
      </c>
      <c r="H5" s="9" t="s">
        <v>329</v>
      </c>
      <c r="I5" s="9" t="s">
        <v>330</v>
      </c>
      <c r="J5" s="9" t="s">
        <v>331</v>
      </c>
      <c r="K5" s="9" t="s">
        <v>332</v>
      </c>
      <c r="L5" s="9" t="s">
        <v>333</v>
      </c>
      <c r="M5" s="9" t="s">
        <v>334</v>
      </c>
      <c r="N5" s="9" t="s">
        <v>335</v>
      </c>
      <c r="O5" s="9" t="s">
        <v>200</v>
      </c>
      <c r="P5" s="9" t="s">
        <v>336</v>
      </c>
      <c r="Q5" s="9" t="s">
        <v>337</v>
      </c>
      <c r="R5" s="9" t="s">
        <v>338</v>
      </c>
      <c r="S5" s="9" t="s">
        <v>339</v>
      </c>
      <c r="T5" s="9" t="s">
        <v>340</v>
      </c>
      <c r="U5" s="9" t="s">
        <v>305</v>
      </c>
      <c r="V5" s="9" t="s">
        <v>341</v>
      </c>
      <c r="W5" s="9" t="s">
        <v>342</v>
      </c>
      <c r="X5" s="9" t="s">
        <v>343</v>
      </c>
      <c r="Y5" s="9" t="s">
        <v>344</v>
      </c>
      <c r="Z5" s="9" t="s">
        <v>345</v>
      </c>
      <c r="AA5" s="9" t="s">
        <v>346</v>
      </c>
      <c r="AB5" s="9" t="s">
        <v>347</v>
      </c>
      <c r="AC5" s="9" t="s">
        <v>348</v>
      </c>
      <c r="AD5" s="9" t="s">
        <v>349</v>
      </c>
      <c r="AE5" s="9" t="s">
        <v>350</v>
      </c>
      <c r="AF5" s="9" t="s">
        <v>351</v>
      </c>
      <c r="AG5" s="9" t="s">
        <v>352</v>
      </c>
      <c r="AH5" s="9" t="s">
        <v>353</v>
      </c>
      <c r="AI5" s="9" t="s">
        <v>354</v>
      </c>
      <c r="AJ5" s="9" t="s">
        <v>355</v>
      </c>
      <c r="AK5" s="9" t="s">
        <v>356</v>
      </c>
      <c r="AL5" s="9" t="s">
        <v>357</v>
      </c>
      <c r="AM5" s="9" t="s">
        <v>358</v>
      </c>
      <c r="AN5" s="9" t="s">
        <v>341</v>
      </c>
      <c r="AO5" s="9" t="s">
        <v>359</v>
      </c>
      <c r="AP5" s="9" t="s">
        <v>342</v>
      </c>
      <c r="AQ5" s="9" t="s">
        <v>360</v>
      </c>
      <c r="AR5" s="9" t="s">
        <v>361</v>
      </c>
      <c r="AS5" s="9" t="s">
        <v>362</v>
      </c>
      <c r="AT5" s="9" t="s">
        <v>46</v>
      </c>
      <c r="AU5" s="9" t="s">
        <v>41</v>
      </c>
    </row>
    <row r="6" customFormat="false" ht="15" hidden="false" customHeight="false" outlineLevel="0" collapsed="false">
      <c r="A6" s="34" t="str">
        <f aca="false">Data!A6</f>
        <v>Benin</v>
      </c>
      <c r="B6" s="34" t="str">
        <f aca="false">Data!B6</f>
        <v>BEN</v>
      </c>
      <c r="C6" s="35" t="n">
        <f aca="false">Data!AB6</f>
        <v>1</v>
      </c>
      <c r="D6" s="32" t="n">
        <f aca="false">LN(MAX(Pools!R6,0.000001))</f>
        <v>2.25246850913127</v>
      </c>
      <c r="E6" s="36" t="n">
        <f aca="false">Pools!U6</f>
        <v>0.104492631541455</v>
      </c>
      <c r="F6" s="11" t="n">
        <f aca="false">IF(Data!H6="","",MAX(0,(Inputs!$D$67-Data!H6)*100))</f>
        <v>48.9923173644078</v>
      </c>
      <c r="G6" s="11" t="n">
        <f aca="false">IF(COUNT(Data!T6,Data!U6)=0,"",AVERAGE(Data!T6,Data!U6))</f>
        <v>13.2689979733072</v>
      </c>
      <c r="H6" s="11" t="n">
        <f aca="false">IF(Data!O6="","",MIN(Inputs!$D$60,Data!O6))</f>
        <v>1.72082497476655</v>
      </c>
      <c r="I6" s="11" t="n">
        <f aca="false">IF(Data!I6="","",(Data!E6-Data!I6)*100)</f>
        <v>26.7790143552882</v>
      </c>
      <c r="J6" s="11" t="n">
        <f aca="false">IF(F6="",MEDIAN(F$6:F$39),F6)</f>
        <v>48.9923173644078</v>
      </c>
      <c r="K6" s="11" t="n">
        <f aca="false">IF(G6="",MEDIAN(G$6:G$39),G6)</f>
        <v>13.2689979733072</v>
      </c>
      <c r="L6" s="11" t="n">
        <f aca="false">IF(H6="",MEDIAN(H$6:H$39),H6)</f>
        <v>1.72082497476655</v>
      </c>
      <c r="M6" s="11" t="n">
        <f aca="false">IF(I6="",MEDIAN(I$6:I$39),I6)</f>
        <v>26.7790143552882</v>
      </c>
      <c r="N6" s="11" t="n">
        <f aca="false">IF(Data!L6="",MIN(Inputs!$D$59,MEDIAN(Data!$L$6:$L$39)),MIN(Inputs!$D$59,Data!L6))</f>
        <v>120</v>
      </c>
      <c r="O6" s="11" t="n">
        <f aca="false">IF(Data!M6="",MEDIAN(Data!$M$6:$M$39),Data!M6)</f>
        <v>33.98379898</v>
      </c>
      <c r="P6" s="11" t="n">
        <f aca="false">IF(Data!N6="",MEDIAN(Data!$N$6:$N$39),Data!N6)</f>
        <v>59</v>
      </c>
      <c r="Q6" s="11" t="n">
        <f aca="false">IF(Data!K6="",MEDIAN(Data!$K$6:$K$39),Data!K6)</f>
        <v>52.5455354818423</v>
      </c>
      <c r="R6" s="11" t="n">
        <f aca="false">IF(Data!Q6="",MIN(Inputs!$D$61,MEDIAN(Data!$Q$6:$Q$39)),MIN(Inputs!$D$61,Data!Q6))</f>
        <v>1.75013677210005</v>
      </c>
      <c r="S6" s="11" t="n">
        <f aca="false">IF(Data!R6="",MAX(Inputs!$D$63,MIN(Inputs!$D$62,MEDIAN(Data!$R$6:$R$39))),MAX(Inputs!$D$63,MIN(Inputs!$D$62,Data!R6)))</f>
        <v>2.97294755352079</v>
      </c>
      <c r="T6" s="11" t="n">
        <f aca="false">IF(Data!S6="",MEDIAN(Data!$S$6:$S$39),Data!S6)</f>
        <v>6.68628003381415</v>
      </c>
      <c r="U6" s="39" t="n">
        <f aca="false">Pools!E6</f>
        <v>0.865549323990162</v>
      </c>
      <c r="V6" s="40" t="n">
        <f aca="false">Data!W6</f>
        <v>20</v>
      </c>
      <c r="W6" s="40" t="n">
        <f aca="false">Data!X6</f>
        <v>100</v>
      </c>
      <c r="X6" s="11" t="n">
        <f aca="false">IF($C6=1,100*(D6-_xlfn.MINIFS(D$6:D$39,$C$6:$C$39,1))/(_xlfn.MAXIFS(D$6:D$39,$C$6:$C$39,1)-_xlfn.MINIFS(D$6:D$39,$C$6:$C$39,1)),"")</f>
        <v>41.0750633428459</v>
      </c>
      <c r="Y6" s="11" t="n">
        <f aca="false">IF($C6=1,100*(E6-_xlfn.MINIFS(E$6:E$39,$C$6:$C$39,1))/(_xlfn.MAXIFS(E$6:E$39,$C$6:$C$39,1)-_xlfn.MINIFS(E$6:E$39,$C$6:$C$39,1)),"")</f>
        <v>35.161960886717</v>
      </c>
      <c r="Z6" s="11" t="n">
        <f aca="false">IF($C6=1,100*(J6-_xlfn.MINIFS(J$6:J$39,$C$6:$C$39,1))/(_xlfn.MAXIFS(J$6:J$39,$C$6:$C$39,1)-_xlfn.MINIFS(J$6:J$39,$C$6:$C$39,1)),"")</f>
        <v>90.2339782379555</v>
      </c>
      <c r="AA6" s="11" t="n">
        <f aca="false">IF($C6=1,100*(L6-_xlfn.MINIFS(L$6:L$39,$C$6:$C$39,1))/(_xlfn.MAXIFS(L$6:L$39,$C$6:$C$39,1)-_xlfn.MINIFS(L$6:L$39,$C$6:$C$39,1)),"")</f>
        <v>10.1955465708423</v>
      </c>
      <c r="AB6" s="11" t="n">
        <f aca="false">IF($C6=1,100*(K6-_xlfn.MINIFS(K$6:K$39,$C$6:$C$39,1))/(_xlfn.MAXIFS(K$6:K$39,$C$6:$C$39,1)-_xlfn.MINIFS(K$6:K$39,$C$6:$C$39,1)),"")</f>
        <v>45.9873096063077</v>
      </c>
      <c r="AC6" s="15" t="n">
        <f aca="false">IF($C6=1,Inputs!$D$46*X6+Inputs!$D$47*Y6+Inputs!$D$48*Z6+Inputs!$D$49*AA6+Inputs!$D$50*AB6,"")</f>
        <v>43.3711895096053</v>
      </c>
      <c r="AD6" s="11" t="n">
        <f aca="false">IF($C6=1,100*(N6-_xlfn.MINIFS(N$6:N$39,$C$6:$C$39,1))/(_xlfn.MAXIFS(N$6:N$39,$C$6:$C$39,1)-_xlfn.MINIFS(N$6:N$39,$C$6:$C$39,1)),"")</f>
        <v>100</v>
      </c>
      <c r="AE6" s="11" t="n">
        <f aca="false">IF($C6=1,100*(O6-_xlfn.MINIFS(O$6:O$39,$C$6:$C$39,1))/(_xlfn.MAXIFS(O$6:O$39,$C$6:$C$39,1)-_xlfn.MINIFS(O$6:O$39,$C$6:$C$39,1)),"")</f>
        <v>36.0679636551961</v>
      </c>
      <c r="AF6" s="11" t="n">
        <f aca="false">IF($C6=1,100*(P6-_xlfn.MINIFS(P$6:P$39,$C$6:$C$39,1))/(_xlfn.MAXIFS(P$6:P$39,$C$6:$C$39,1)-_xlfn.MINIFS(P$6:P$39,$C$6:$C$39,1)),"")</f>
        <v>58.0891719745223</v>
      </c>
      <c r="AG6" s="11" t="n">
        <f aca="false">IF($C6=1,100*(Q6-_xlfn.MINIFS(Q$6:Q$39,$C$6:$C$39,1))/(_xlfn.MAXIFS(Q$6:Q$39,$C$6:$C$39,1)-_xlfn.MINIFS(Q$6:Q$39,$C$6:$C$39,1)),"")</f>
        <v>75.6723808353077</v>
      </c>
      <c r="AH6" s="11" t="n">
        <f aca="false">IF($C6=1,AVERAGE(AD6:AG6),"")</f>
        <v>67.4573791162565</v>
      </c>
      <c r="AI6" s="11" t="n">
        <f aca="false">IF($C6=1,100*(_xlfn.MAXIFS(R$6:R$39,$C$6:$C$39,1)-R6)/(_xlfn.MAXIFS(R$6:R$39,$C$6:$C$39,1)-_xlfn.MINIFS(R$6:R$39,$C$6:$C$39,1)),"")</f>
        <v>100</v>
      </c>
      <c r="AJ6" s="11" t="n">
        <f aca="false">IF($C6=1,100*(_xlfn.MAXIFS(S$6:S$39,$C$6:$C$39,1)-S6)/(_xlfn.MAXIFS(S$6:S$39,$C$6:$C$39,1)-_xlfn.MINIFS(S$6:S$39,$C$6:$C$39,1)),"")</f>
        <v>90.7438281511571</v>
      </c>
      <c r="AK6" s="11" t="n">
        <f aca="false">IF($C6=1,100*(T6-_xlfn.MINIFS(T$6:T$39,$C$6:$C$39,1))/(_xlfn.MAXIFS(T$6:T$39,$C$6:$C$39,1)-_xlfn.MINIFS(T$6:T$39,$C$6:$C$39,1)),"")</f>
        <v>81.0768496591119</v>
      </c>
      <c r="AL6" s="11" t="n">
        <f aca="false">IF($C6=1,AVERAGE(AI6:AK6),"")</f>
        <v>90.606892603423</v>
      </c>
      <c r="AM6" s="11" t="n">
        <f aca="false">IF($C6=1,100*(U6-_xlfn.MINIFS(U$6:U$39,$C$6:$C$39,1))/(_xlfn.MAXIFS(U$6:U$39,$C$6:$C$39,1)-_xlfn.MINIFS(U$6:U$39,$C$6:$C$39,1)),"")</f>
        <v>87.2718497549018</v>
      </c>
      <c r="AN6" s="11" t="n">
        <f aca="false">IF($C6=1,100*(V6-_xlfn.MINIFS(V$6:V$39,$C$6:$C$39,1))/(_xlfn.MAXIFS(V$6:V$39,$C$6:$C$39,1)-_xlfn.MINIFS(V$6:V$39,$C$6:$C$39,1)),"")</f>
        <v>0</v>
      </c>
      <c r="AO6" s="11" t="n">
        <f aca="false">IF($C6=1,100*(M6-_xlfn.MINIFS(M$6:M$39,$C$6:$C$39,1))/(_xlfn.MAXIFS(M$6:M$39,$C$6:$C$39,1)-_xlfn.MINIFS(M$6:M$39,$C$6:$C$39,1)),"")</f>
        <v>63.2937698980723</v>
      </c>
      <c r="AP6" s="11" t="n">
        <f aca="false">IF($C6=1,W6,"")</f>
        <v>100</v>
      </c>
      <c r="AQ6" s="15" t="n">
        <f aca="false">IF($C6=1,Inputs!$D$52*AH6+Inputs!$D$53*AL6+Inputs!$D$54*AM6+Inputs!$D$55*AN6+Inputs!$D$56*AO6+Inputs!$D$57*AP6,"")</f>
        <v>71.0330087969784</v>
      </c>
      <c r="AR6" s="12" t="n">
        <f aca="false">IF($C6=1,SQRT(AC6*AQ6),"")</f>
        <v>55.5048293932268</v>
      </c>
      <c r="AS6" s="41" t="n">
        <f aca="false">IF($C6=1,COUNTIFS($C$6:$C$39,1,$AR$6:$AR$39,"&gt;"&amp;AR6)+1,"")</f>
        <v>5</v>
      </c>
      <c r="AT6" s="13" t="n">
        <f aca="false">IF($C6=1,Inputs!$D$38+Inputs!$D$39*(1-AL6/100)+Inputs!$D$40*(1-AP6/100),"")</f>
        <v>0.123757242958631</v>
      </c>
      <c r="AU6" s="5" t="str">
        <f aca="false">IF($C6=1,IF(AC6&gt;=MEDIAN(AC$6:AC$39),IF(AQ6&gt;=MEDIAN(AQ$6:AQ$39),"Prioritise","Big but hard"),IF(AQ6&gt;=MEDIAN(AQ$6:AQ$39),"Easy but small","Deprioritise")),"")</f>
        <v>Easy but small</v>
      </c>
    </row>
    <row r="7" customFormat="false" ht="15" hidden="false" customHeight="false" outlineLevel="0" collapsed="false">
      <c r="A7" s="34" t="str">
        <f aca="false">Data!A7</f>
        <v>Botswana</v>
      </c>
      <c r="B7" s="34" t="str">
        <f aca="false">Data!B7</f>
        <v>BWA</v>
      </c>
      <c r="C7" s="35" t="n">
        <f aca="false">Data!AB7</f>
        <v>0</v>
      </c>
      <c r="D7" s="32" t="n">
        <f aca="false">LN(MAX(Pools!R7,0.000001))</f>
        <v>0.988817737271453</v>
      </c>
      <c r="E7" s="36" t="n">
        <f aca="false">Pools!U7</f>
        <v>0.0833654179818901</v>
      </c>
      <c r="F7" s="11" t="n">
        <f aca="false">IF(Data!H7="","",MAX(0,(Inputs!$D$67-Data!H7)*100))</f>
        <v>30.1605756971186</v>
      </c>
      <c r="G7" s="11" t="n">
        <f aca="false">IF(COUNT(Data!T7,Data!U7)=0,"",AVERAGE(Data!T7,Data!U7))</f>
        <v>13.7562838205318</v>
      </c>
      <c r="H7" s="11" t="n">
        <f aca="false">IF(Data!O7="","",MIN(Inputs!$D$60,Data!O7))</f>
        <v>0.665235250950978</v>
      </c>
      <c r="I7" s="11" t="n">
        <f aca="false">IF(Data!I7="","",(Data!E7-Data!I7)*100)</f>
        <v>27.2395090266972</v>
      </c>
      <c r="J7" s="11" t="n">
        <f aca="false">IF(F7="",MEDIAN(F$6:F$39),F7)</f>
        <v>30.1605756971186</v>
      </c>
      <c r="K7" s="11" t="n">
        <f aca="false">IF(G7="",MEDIAN(G$6:G$39),G7)</f>
        <v>13.7562838205318</v>
      </c>
      <c r="L7" s="11" t="n">
        <f aca="false">IF(H7="",MEDIAN(H$6:H$39),H7)</f>
        <v>0.665235250950978</v>
      </c>
      <c r="M7" s="11" t="n">
        <f aca="false">IF(I7="",MEDIAN(I$6:I$39),I7)</f>
        <v>27.2395090266972</v>
      </c>
      <c r="N7" s="11" t="n">
        <f aca="false">IF(Data!L7="",MIN(Inputs!$D$59,MEDIAN(Data!$L$6:$L$39)),MIN(Inputs!$D$59,Data!L7))</f>
        <v>120</v>
      </c>
      <c r="O7" s="11" t="n">
        <f aca="false">IF(Data!M7="",MEDIAN(Data!$M$6:$M$39),Data!M7)</f>
        <v>57.45950036</v>
      </c>
      <c r="P7" s="11" t="n">
        <f aca="false">IF(Data!N7="",MEDIAN(Data!$N$6:$N$39),Data!N7)</f>
        <v>80.2</v>
      </c>
      <c r="Q7" s="11" t="n">
        <f aca="false">IF(Data!K7="",MEDIAN(Data!$K$6:$K$39),Data!K7)</f>
        <v>67.4623537838418</v>
      </c>
      <c r="R7" s="11" t="n">
        <f aca="false">IF(Data!Q7="",MIN(Inputs!$D$61,MEDIAN(Data!$Q$6:$Q$39)),MIN(Inputs!$D$61,Data!Q7))</f>
        <v>6.51717809633427</v>
      </c>
      <c r="S7" s="11" t="n">
        <f aca="false">IF(Data!R7="",MAX(Inputs!$D$63,MIN(Inputs!$D$62,MEDIAN(Data!$R$6:$R$39))),MAX(Inputs!$D$63,MIN(Inputs!$D$62,Data!R7)))</f>
        <v>6.71862588393473</v>
      </c>
      <c r="T7" s="11" t="n">
        <f aca="false">IF(Data!S7="",MEDIAN(Data!$S$6:$S$39),Data!S7)</f>
        <v>1.97139845668319</v>
      </c>
      <c r="U7" s="39" t="n">
        <f aca="false">Pools!E7</f>
        <v>0.840154654233764</v>
      </c>
      <c r="V7" s="40" t="n">
        <f aca="false">Data!W7</f>
        <v>20</v>
      </c>
      <c r="W7" s="40" t="n">
        <f aca="false">Data!X7</f>
        <v>100</v>
      </c>
      <c r="X7" s="11" t="str">
        <f aca="false">IF($C7=1,100*(D7-_xlfn.MINIFS(D$6:D$39,$C$6:$C$39,1))/(_xlfn.MAXIFS(D$6:D$39,$C$6:$C$39,1)-_xlfn.MINIFS(D$6:D$39,$C$6:$C$39,1)),"")</f>
        <v/>
      </c>
      <c r="Y7" s="11" t="str">
        <f aca="false">IF($C7=1,100*(E7-_xlfn.MINIFS(E$6:E$39,$C$6:$C$39,1))/(_xlfn.MAXIFS(E$6:E$39,$C$6:$C$39,1)-_xlfn.MINIFS(E$6:E$39,$C$6:$C$39,1)),"")</f>
        <v/>
      </c>
      <c r="Z7" s="11" t="str">
        <f aca="false">IF($C7=1,100*(J7-_xlfn.MINIFS(J$6:J$39,$C$6:$C$39,1))/(_xlfn.MAXIFS(J$6:J$39,$C$6:$C$39,1)-_xlfn.MINIFS(J$6:J$39,$C$6:$C$39,1)),"")</f>
        <v/>
      </c>
      <c r="AA7" s="11" t="str">
        <f aca="false">IF($C7=1,100*(L7-_xlfn.MINIFS(L$6:L$39,$C$6:$C$39,1))/(_xlfn.MAXIFS(L$6:L$39,$C$6:$C$39,1)-_xlfn.MINIFS(L$6:L$39,$C$6:$C$39,1)),"")</f>
        <v/>
      </c>
      <c r="AB7" s="11" t="str">
        <f aca="false">IF($C7=1,100*(K7-_xlfn.MINIFS(K$6:K$39,$C$6:$C$39,1))/(_xlfn.MAXIFS(K$6:K$39,$C$6:$C$39,1)-_xlfn.MINIFS(K$6:K$39,$C$6:$C$39,1)),"")</f>
        <v/>
      </c>
      <c r="AC7" s="15" t="str">
        <f aca="false">IF($C7=1,Inputs!$D$46*X7+Inputs!$D$47*Y7+Inputs!$D$48*Z7+Inputs!$D$49*AA7+Inputs!$D$50*AB7,"")</f>
        <v/>
      </c>
      <c r="AD7" s="11" t="str">
        <f aca="false">IF($C7=1,100*(N7-_xlfn.MINIFS(N$6:N$39,$C$6:$C$39,1))/(_xlfn.MAXIFS(N$6:N$39,$C$6:$C$39,1)-_xlfn.MINIFS(N$6:N$39,$C$6:$C$39,1)),"")</f>
        <v/>
      </c>
      <c r="AE7" s="11" t="str">
        <f aca="false">IF($C7=1,100*(O7-_xlfn.MINIFS(O$6:O$39,$C$6:$C$39,1))/(_xlfn.MAXIFS(O$6:O$39,$C$6:$C$39,1)-_xlfn.MINIFS(O$6:O$39,$C$6:$C$39,1)),"")</f>
        <v/>
      </c>
      <c r="AF7" s="11" t="str">
        <f aca="false">IF($C7=1,100*(P7-_xlfn.MINIFS(P$6:P$39,$C$6:$C$39,1))/(_xlfn.MAXIFS(P$6:P$39,$C$6:$C$39,1)-_xlfn.MINIFS(P$6:P$39,$C$6:$C$39,1)),"")</f>
        <v/>
      </c>
      <c r="AG7" s="11" t="str">
        <f aca="false">IF($C7=1,100*(Q7-_xlfn.MINIFS(Q$6:Q$39,$C$6:$C$39,1))/(_xlfn.MAXIFS(Q$6:Q$39,$C$6:$C$39,1)-_xlfn.MINIFS(Q$6:Q$39,$C$6:$C$39,1)),"")</f>
        <v/>
      </c>
      <c r="AH7" s="11" t="str">
        <f aca="false">IF($C7=1,AVERAGE(AD7:AG7),"")</f>
        <v/>
      </c>
      <c r="AI7" s="11" t="str">
        <f aca="false">IF($C7=1,100*(_xlfn.MAXIFS(R$6:R$39,$C$6:$C$39,1)-R7)/(_xlfn.MAXIFS(R$6:R$39,$C$6:$C$39,1)-_xlfn.MINIFS(R$6:R$39,$C$6:$C$39,1)),"")</f>
        <v/>
      </c>
      <c r="AJ7" s="11" t="str">
        <f aca="false">IF($C7=1,100*(_xlfn.MAXIFS(S$6:S$39,$C$6:$C$39,1)-S7)/(_xlfn.MAXIFS(S$6:S$39,$C$6:$C$39,1)-_xlfn.MINIFS(S$6:S$39,$C$6:$C$39,1)),"")</f>
        <v/>
      </c>
      <c r="AK7" s="11" t="str">
        <f aca="false">IF($C7=1,100*(T7-_xlfn.MINIFS(T$6:T$39,$C$6:$C$39,1))/(_xlfn.MAXIFS(T$6:T$39,$C$6:$C$39,1)-_xlfn.MINIFS(T$6:T$39,$C$6:$C$39,1)),"")</f>
        <v/>
      </c>
      <c r="AL7" s="11" t="str">
        <f aca="false">IF($C7=1,AVERAGE(AI7:AK7),"")</f>
        <v/>
      </c>
      <c r="AM7" s="11" t="str">
        <f aca="false">IF($C7=1,100*(U7-_xlfn.MINIFS(U$6:U$39,$C$6:$C$39,1))/(_xlfn.MAXIFS(U$6:U$39,$C$6:$C$39,1)-_xlfn.MINIFS(U$6:U$39,$C$6:$C$39,1)),"")</f>
        <v/>
      </c>
      <c r="AN7" s="11" t="str">
        <f aca="false">IF($C7=1,100*(V7-_xlfn.MINIFS(V$6:V$39,$C$6:$C$39,1))/(_xlfn.MAXIFS(V$6:V$39,$C$6:$C$39,1)-_xlfn.MINIFS(V$6:V$39,$C$6:$C$39,1)),"")</f>
        <v/>
      </c>
      <c r="AO7" s="11" t="str">
        <f aca="false">IF($C7=1,100*(M7-_xlfn.MINIFS(M$6:M$39,$C$6:$C$39,1))/(_xlfn.MAXIFS(M$6:M$39,$C$6:$C$39,1)-_xlfn.MINIFS(M$6:M$39,$C$6:$C$39,1)),"")</f>
        <v/>
      </c>
      <c r="AP7" s="11" t="str">
        <f aca="false">IF($C7=1,W7,"")</f>
        <v/>
      </c>
      <c r="AQ7" s="15" t="str">
        <f aca="false">IF($C7=1,Inputs!$D$52*AH7+Inputs!$D$53*AL7+Inputs!$D$54*AM7+Inputs!$D$55*AN7+Inputs!$D$56*AO7+Inputs!$D$57*AP7,"")</f>
        <v/>
      </c>
      <c r="AR7" s="12" t="str">
        <f aca="false">IF($C7=1,SQRT(AC7*AQ7),"")</f>
        <v/>
      </c>
      <c r="AS7" s="41" t="str">
        <f aca="false">IF($C7=1,COUNTIFS($C$6:$C$39,1,$AR$6:$AR$39,"&gt;"&amp;AR7)+1,"")</f>
        <v/>
      </c>
      <c r="AT7" s="13" t="str">
        <f aca="false">IF($C7=1,Inputs!$D$38+Inputs!$D$39*(1-AL7/100)+Inputs!$D$40*(1-AP7/100),"")</f>
        <v/>
      </c>
      <c r="AU7" s="5" t="str">
        <f aca="false">IF($C7=1,IF(AC7&gt;=MEDIAN(AC$6:AC$39),IF(AQ7&gt;=MEDIAN(AQ$6:AQ$39),"Prioritise","Big but hard"),IF(AQ7&gt;=MEDIAN(AQ$6:AQ$39),"Easy but small","Deprioritise")),"")</f>
        <v/>
      </c>
    </row>
    <row r="8" customFormat="false" ht="15" hidden="false" customHeight="false" outlineLevel="0" collapsed="false">
      <c r="A8" s="34" t="str">
        <f aca="false">Data!A8</f>
        <v>Burkina Faso</v>
      </c>
      <c r="B8" s="34" t="str">
        <f aca="false">Data!B8</f>
        <v>BFA</v>
      </c>
      <c r="C8" s="35" t="n">
        <f aca="false">Data!AB8</f>
        <v>1</v>
      </c>
      <c r="D8" s="32" t="n">
        <f aca="false">LN(MAX(Pools!R8,0.000001))</f>
        <v>2.56165131989302</v>
      </c>
      <c r="E8" s="36" t="n">
        <f aca="false">Pools!U8</f>
        <v>0.10352896641035</v>
      </c>
      <c r="F8" s="11" t="n">
        <f aca="false">IF(Data!H8="","",MAX(0,(Inputs!$D$67-Data!H8)*100))</f>
        <v>43.712593788009</v>
      </c>
      <c r="G8" s="11" t="n">
        <f aca="false">IF(COUNT(Data!T8,Data!U8)=0,"",AVERAGE(Data!T8,Data!U8))</f>
        <v>16.039934023516</v>
      </c>
      <c r="H8" s="11" t="n">
        <f aca="false">IF(Data!O8="","",MIN(Inputs!$D$60,Data!O8))</f>
        <v>2.57274984525714</v>
      </c>
      <c r="I8" s="11" t="n">
        <f aca="false">IF(Data!I8="","",(Data!E8-Data!I8)*100)</f>
        <v>11.1345656044164</v>
      </c>
      <c r="J8" s="11" t="n">
        <f aca="false">IF(F8="",MEDIAN(F$6:F$39),F8)</f>
        <v>43.712593788009</v>
      </c>
      <c r="K8" s="11" t="n">
        <f aca="false">IF(G8="",MEDIAN(G$6:G$39),G8)</f>
        <v>16.039934023516</v>
      </c>
      <c r="L8" s="11" t="n">
        <f aca="false">IF(H8="",MEDIAN(H$6:H$39),H8)</f>
        <v>2.57274984525714</v>
      </c>
      <c r="M8" s="11" t="n">
        <f aca="false">IF(I8="",MEDIAN(I$6:I$39),I8)</f>
        <v>11.1345656044164</v>
      </c>
      <c r="N8" s="11" t="n">
        <f aca="false">IF(Data!L8="",MIN(Inputs!$D$59,MEDIAN(Data!$L$6:$L$39)),MIN(Inputs!$D$59,Data!L8))</f>
        <v>116.5895933212</v>
      </c>
      <c r="O8" s="11" t="n">
        <f aca="false">IF(Data!M8="",MEDIAN(Data!$M$6:$M$39),Data!M8)</f>
        <v>28.25270081</v>
      </c>
      <c r="P8" s="11" t="n">
        <f aca="false">IF(Data!N8="",MEDIAN(Data!$N$6:$N$39),Data!N8)</f>
        <v>34</v>
      </c>
      <c r="Q8" s="11" t="n">
        <f aca="false">IF(Data!K8="",MEDIAN(Data!$K$6:$K$39),Data!K8)</f>
        <v>28.3352514896662</v>
      </c>
      <c r="R8" s="11" t="n">
        <f aca="false">IF(Data!Q8="",MIN(Inputs!$D$61,MEDIAN(Data!$Q$6:$Q$39)),MIN(Inputs!$D$61,Data!Q8))</f>
        <v>6.40798769081665</v>
      </c>
      <c r="S8" s="11" t="n">
        <f aca="false">IF(Data!R8="",MAX(Inputs!$D$63,MIN(Inputs!$D$62,MEDIAN(Data!$R$6:$R$39))),MAX(Inputs!$D$63,MIN(Inputs!$D$62,Data!R8)))</f>
        <v>2.97758321341949</v>
      </c>
      <c r="T8" s="11" t="n">
        <f aca="false">IF(Data!S8="",MEDIAN(Data!$S$6:$S$39),Data!S8)</f>
        <v>3.15365494729976</v>
      </c>
      <c r="U8" s="39" t="n">
        <f aca="false">Pools!E8</f>
        <v>0.858633449267359</v>
      </c>
      <c r="V8" s="40" t="n">
        <f aca="false">Data!W8</f>
        <v>20</v>
      </c>
      <c r="W8" s="40" t="n">
        <f aca="false">Data!X8</f>
        <v>0</v>
      </c>
      <c r="X8" s="11" t="n">
        <f aca="false">IF($C8=1,100*(D8-_xlfn.MINIFS(D$6:D$39,$C$6:$C$39,1))/(_xlfn.MAXIFS(D$6:D$39,$C$6:$C$39,1)-_xlfn.MINIFS(D$6:D$39,$C$6:$C$39,1)),"")</f>
        <v>48.52529700453</v>
      </c>
      <c r="Y8" s="11" t="n">
        <f aca="false">IF($C8=1,100*(E8-_xlfn.MINIFS(E$6:E$39,$C$6:$C$39,1))/(_xlfn.MAXIFS(E$6:E$39,$C$6:$C$39,1)-_xlfn.MINIFS(E$6:E$39,$C$6:$C$39,1)),"")</f>
        <v>34.5898638573595</v>
      </c>
      <c r="Z8" s="11" t="n">
        <f aca="false">IF($C8=1,100*(J8-_xlfn.MINIFS(J$6:J$39,$C$6:$C$39,1))/(_xlfn.MAXIFS(J$6:J$39,$C$6:$C$39,1)-_xlfn.MINIFS(J$6:J$39,$C$6:$C$39,1)),"")</f>
        <v>78.371212813573</v>
      </c>
      <c r="AA8" s="11" t="n">
        <f aca="false">IF($C8=1,100*(L8-_xlfn.MINIFS(L$6:L$39,$C$6:$C$39,1))/(_xlfn.MAXIFS(L$6:L$39,$C$6:$C$39,1)-_xlfn.MINIFS(L$6:L$39,$C$6:$C$39,1)),"")</f>
        <v>15.9569472009066</v>
      </c>
      <c r="AB8" s="11" t="n">
        <f aca="false">IF($C8=1,100*(K8-_xlfn.MINIFS(K$6:K$39,$C$6:$C$39,1))/(_xlfn.MAXIFS(K$6:K$39,$C$6:$C$39,1)-_xlfn.MINIFS(K$6:K$39,$C$6:$C$39,1)),"")</f>
        <v>58.566593614137</v>
      </c>
      <c r="AC8" s="15" t="n">
        <f aca="false">IF($C8=1,Inputs!$D$46*X8+Inputs!$D$47*Y8+Inputs!$D$48*Z8+Inputs!$D$49*AA8+Inputs!$D$50*AB8,"")</f>
        <v>46.8360397673499</v>
      </c>
      <c r="AD8" s="11" t="n">
        <f aca="false">IF($C8=1,100*(N8-_xlfn.MINIFS(N$6:N$39,$C$6:$C$39,1))/(_xlfn.MAXIFS(N$6:N$39,$C$6:$C$39,1)-_xlfn.MINIFS(N$6:N$39,$C$6:$C$39,1)),"")</f>
        <v>96.1217222107773</v>
      </c>
      <c r="AE8" s="11" t="n">
        <f aca="false">IF($C8=1,100*(O8-_xlfn.MINIFS(O$6:O$39,$C$6:$C$39,1))/(_xlfn.MAXIFS(O$6:O$39,$C$6:$C$39,1)-_xlfn.MINIFS(O$6:O$39,$C$6:$C$39,1)),"")</f>
        <v>27.8108211531066</v>
      </c>
      <c r="AF8" s="11" t="n">
        <f aca="false">IF($C8=1,100*(P8-_xlfn.MINIFS(P$6:P$39,$C$6:$C$39,1))/(_xlfn.MAXIFS(P$6:P$39,$C$6:$C$39,1)-_xlfn.MINIFS(P$6:P$39,$C$6:$C$39,1)),"")</f>
        <v>26.2420382165605</v>
      </c>
      <c r="AG8" s="11" t="n">
        <f aca="false">IF($C8=1,100*(Q8-_xlfn.MINIFS(Q$6:Q$39,$C$6:$C$39,1))/(_xlfn.MAXIFS(Q$6:Q$39,$C$6:$C$39,1)-_xlfn.MINIFS(Q$6:Q$39,$C$6:$C$39,1)),"")</f>
        <v>23.7391617098755</v>
      </c>
      <c r="AH8" s="11" t="n">
        <f aca="false">IF($C8=1,AVERAGE(AD8:AG8),"")</f>
        <v>43.47843582258</v>
      </c>
      <c r="AI8" s="11" t="n">
        <f aca="false">IF($C8=1,100*(_xlfn.MAXIFS(R$6:R$39,$C$6:$C$39,1)-R8)/(_xlfn.MAXIFS(R$6:R$39,$C$6:$C$39,1)-_xlfn.MINIFS(R$6:R$39,$C$6:$C$39,1)),"")</f>
        <v>87.822568433868</v>
      </c>
      <c r="AJ8" s="11" t="n">
        <f aca="false">IF($C8=1,100*(_xlfn.MAXIFS(S$6:S$39,$C$6:$C$39,1)-S8)/(_xlfn.MAXIFS(S$6:S$39,$C$6:$C$39,1)-_xlfn.MINIFS(S$6:S$39,$C$6:$C$39,1)),"")</f>
        <v>90.7324673352827</v>
      </c>
      <c r="AK8" s="11" t="n">
        <f aca="false">IF($C8=1,100*(T8-_xlfn.MINIFS(T$6:T$39,$C$6:$C$39,1))/(_xlfn.MAXIFS(T$6:T$39,$C$6:$C$39,1)-_xlfn.MINIFS(T$6:T$39,$C$6:$C$39,1)),"")</f>
        <v>29.5009220174296</v>
      </c>
      <c r="AL8" s="11" t="n">
        <f aca="false">IF($C8=1,AVERAGE(AI8:AK8),"")</f>
        <v>69.3519859288601</v>
      </c>
      <c r="AM8" s="11" t="n">
        <f aca="false">IF($C8=1,100*(U8-_xlfn.MINIFS(U$6:U$39,$C$6:$C$39,1))/(_xlfn.MAXIFS(U$6:U$39,$C$6:$C$39,1)-_xlfn.MINIFS(U$6:U$39,$C$6:$C$39,1)),"")</f>
        <v>86.3735885968677</v>
      </c>
      <c r="AN8" s="11" t="n">
        <f aca="false">IF($C8=1,100*(V8-_xlfn.MINIFS(V$6:V$39,$C$6:$C$39,1))/(_xlfn.MAXIFS(V$6:V$39,$C$6:$C$39,1)-_xlfn.MINIFS(V$6:V$39,$C$6:$C$39,1)),"")</f>
        <v>0</v>
      </c>
      <c r="AO8" s="11" t="n">
        <f aca="false">IF($C8=1,100*(M8-_xlfn.MINIFS(M$6:M$39,$C$6:$C$39,1))/(_xlfn.MAXIFS(M$6:M$39,$C$6:$C$39,1)-_xlfn.MINIFS(M$6:M$39,$C$6:$C$39,1)),"")</f>
        <v>32.3780706161166</v>
      </c>
      <c r="AP8" s="11" t="n">
        <f aca="false">IF($C8=1,W8,"")</f>
        <v>0</v>
      </c>
      <c r="AQ8" s="15" t="n">
        <f aca="false">IF($C8=1,Inputs!$D$52*AH8+Inputs!$D$53*AL8+Inputs!$D$54*AM8+Inputs!$D$55*AN8+Inputs!$D$56*AO8+Inputs!$D$57*AP8,"")</f>
        <v>38.7599297014298</v>
      </c>
      <c r="AR8" s="12" t="n">
        <f aca="false">IF($C8=1,SQRT(AC8*AQ8),"")</f>
        <v>42.6070605519303</v>
      </c>
      <c r="AS8" s="41" t="n">
        <f aca="false">IF($C8=1,COUNTIFS($C$6:$C$39,1,$AR$6:$AR$39,"&gt;"&amp;AR8)+1,"")</f>
        <v>21</v>
      </c>
      <c r="AT8" s="13" t="n">
        <f aca="false">IF($C8=1,Inputs!$D$38+Inputs!$D$39*(1-AL8/100)+Inputs!$D$40*(1-AP8/100),"")</f>
        <v>0.172259205628456</v>
      </c>
      <c r="AU8" s="5" t="str">
        <f aca="false">IF($C8=1,IF(AC8&gt;=MEDIAN(AC$6:AC$39),IF(AQ8&gt;=MEDIAN(AQ$6:AQ$39),"Prioritise","Big but hard"),IF(AQ8&gt;=MEDIAN(AQ$6:AQ$39),"Easy but small","Deprioritise")),"")</f>
        <v>Big but hard</v>
      </c>
    </row>
    <row r="9" customFormat="false" ht="15" hidden="false" customHeight="false" outlineLevel="0" collapsed="false">
      <c r="A9" s="34" t="str">
        <f aca="false">Data!A9</f>
        <v>Cameroon</v>
      </c>
      <c r="B9" s="34" t="str">
        <f aca="false">Data!B9</f>
        <v>CMR</v>
      </c>
      <c r="C9" s="35" t="n">
        <f aca="false">Data!AB9</f>
        <v>1</v>
      </c>
      <c r="D9" s="32" t="n">
        <f aca="false">LN(MAX(Pools!R9,0.000001))</f>
        <v>3.07492368811808</v>
      </c>
      <c r="E9" s="36" t="n">
        <f aca="false">Pools!U9</f>
        <v>0.0878334602126039</v>
      </c>
      <c r="F9" s="11" t="n">
        <f aca="false">IF(Data!H9="","",MAX(0,(Inputs!$D$67-Data!H9)*100))</f>
        <v>35.4492044595577</v>
      </c>
      <c r="G9" s="11" t="n">
        <f aca="false">IF(COUNT(Data!T9,Data!U9)=0,"",AVERAGE(Data!T9,Data!U9))</f>
        <v>20.3829840739229</v>
      </c>
      <c r="H9" s="11" t="n">
        <f aca="false">IF(Data!O9="","",MIN(Inputs!$D$60,Data!O9))</f>
        <v>1.29492646677846</v>
      </c>
      <c r="I9" s="11" t="n">
        <f aca="false">IF(Data!I9="","",(Data!E9-Data!I9)*100)</f>
        <v>39.9276219630615</v>
      </c>
      <c r="J9" s="11" t="n">
        <f aca="false">IF(F9="",MEDIAN(F$6:F$39),F9)</f>
        <v>35.4492044595577</v>
      </c>
      <c r="K9" s="11" t="n">
        <f aca="false">IF(G9="",MEDIAN(G$6:G$39),G9)</f>
        <v>20.3829840739229</v>
      </c>
      <c r="L9" s="11" t="n">
        <f aca="false">IF(H9="",MEDIAN(H$6:H$39),H9)</f>
        <v>1.29492646677846</v>
      </c>
      <c r="M9" s="11" t="n">
        <f aca="false">IF(I9="",MEDIAN(I$6:I$39),I9)</f>
        <v>39.9276219630615</v>
      </c>
      <c r="N9" s="11" t="n">
        <f aca="false">IF(Data!L9="",MIN(Inputs!$D$59,MEDIAN(Data!$L$6:$L$39)),MIN(Inputs!$D$59,Data!L9))</f>
        <v>108.213130152497</v>
      </c>
      <c r="O9" s="11" t="n">
        <f aca="false">IF(Data!M9="",MEDIAN(Data!$M$6:$M$39),Data!M9)</f>
        <v>46.25880051</v>
      </c>
      <c r="P9" s="11" t="n">
        <f aca="false">IF(Data!N9="",MEDIAN(Data!$N$6:$N$39),Data!N9)</f>
        <v>72</v>
      </c>
      <c r="Q9" s="11" t="n">
        <f aca="false">IF(Data!K9="",MEDIAN(Data!$K$6:$K$39),Data!K9)</f>
        <v>55.4031748609078</v>
      </c>
      <c r="R9" s="11" t="n">
        <f aca="false">IF(Data!Q9="",MIN(Inputs!$D$61,MEDIAN(Data!$Q$6:$Q$39)),MIN(Inputs!$D$61,Data!Q9))</f>
        <v>6.0546014911215</v>
      </c>
      <c r="S9" s="11" t="n">
        <f aca="false">IF(Data!R9="",MAX(Inputs!$D$63,MIN(Inputs!$D$62,MEDIAN(Data!$R$6:$R$39))),MAX(Inputs!$D$63,MIN(Inputs!$D$62,Data!R9)))</f>
        <v>2.97758321341949</v>
      </c>
      <c r="T9" s="11" t="n">
        <f aca="false">IF(Data!S9="",MEDIAN(Data!$S$6:$S$39),Data!S9)</f>
        <v>3.53635666455528</v>
      </c>
      <c r="U9" s="39" t="n">
        <f aca="false">Pools!E9</f>
        <v>0.90458391150461</v>
      </c>
      <c r="V9" s="40" t="n">
        <f aca="false">Data!W9</f>
        <v>20</v>
      </c>
      <c r="W9" s="40" t="n">
        <f aca="false">Data!X9</f>
        <v>0</v>
      </c>
      <c r="X9" s="11" t="n">
        <f aca="false">IF($C9=1,100*(D9-_xlfn.MINIFS(D$6:D$39,$C$6:$C$39,1))/(_xlfn.MAXIFS(D$6:D$39,$C$6:$C$39,1)-_xlfn.MINIFS(D$6:D$39,$C$6:$C$39,1)),"")</f>
        <v>60.8933813295976</v>
      </c>
      <c r="Y9" s="11" t="n">
        <f aca="false">IF($C9=1,100*(E9-_xlfn.MINIFS(E$6:E$39,$C$6:$C$39,1))/(_xlfn.MAXIFS(E$6:E$39,$C$6:$C$39,1)-_xlfn.MINIFS(E$6:E$39,$C$6:$C$39,1)),"")</f>
        <v>25.2719460660489</v>
      </c>
      <c r="Z9" s="11" t="n">
        <f aca="false">IF($C9=1,100*(J9-_xlfn.MINIFS(J$6:J$39,$C$6:$C$39,1))/(_xlfn.MAXIFS(J$6:J$39,$C$6:$C$39,1)-_xlfn.MINIFS(J$6:J$39,$C$6:$C$39,1)),"")</f>
        <v>59.8045875356971</v>
      </c>
      <c r="AA9" s="11" t="n">
        <f aca="false">IF($C9=1,100*(L9-_xlfn.MINIFS(L$6:L$39,$C$6:$C$39,1))/(_xlfn.MAXIFS(L$6:L$39,$C$6:$C$39,1)-_xlfn.MINIFS(L$6:L$39,$C$6:$C$39,1)),"")</f>
        <v>7.31527858329905</v>
      </c>
      <c r="AB9" s="11" t="n">
        <f aca="false">IF($C9=1,100*(K9-_xlfn.MINIFS(K$6:K$39,$C$6:$C$39,1))/(_xlfn.MAXIFS(K$6:K$39,$C$6:$C$39,1)-_xlfn.MINIFS(K$6:K$39,$C$6:$C$39,1)),"")</f>
        <v>78.2828407791227</v>
      </c>
      <c r="AC9" s="15" t="n">
        <f aca="false">IF($C9=1,Inputs!$D$46*X9+Inputs!$D$47*Y9+Inputs!$D$48*Z9+Inputs!$D$49*AA9+Inputs!$D$50*AB9,"")</f>
        <v>48.1774787132868</v>
      </c>
      <c r="AD9" s="11" t="n">
        <f aca="false">IF($C9=1,100*(N9-_xlfn.MINIFS(N$6:N$39,$C$6:$C$39,1))/(_xlfn.MAXIFS(N$6:N$39,$C$6:$C$39,1)-_xlfn.MINIFS(N$6:N$39,$C$6:$C$39,1)),"")</f>
        <v>86.5960984013453</v>
      </c>
      <c r="AE9" s="11" t="n">
        <f aca="false">IF($C9=1,100*(O9-_xlfn.MINIFS(O$6:O$39,$C$6:$C$39,1))/(_xlfn.MAXIFS(O$6:O$39,$C$6:$C$39,1)-_xlfn.MINIFS(O$6:O$39,$C$6:$C$39,1)),"")</f>
        <v>53.7533066453298</v>
      </c>
      <c r="AF9" s="11" t="n">
        <f aca="false">IF($C9=1,100*(P9-_xlfn.MINIFS(P$6:P$39,$C$6:$C$39,1))/(_xlfn.MAXIFS(P$6:P$39,$C$6:$C$39,1)-_xlfn.MINIFS(P$6:P$39,$C$6:$C$39,1)),"")</f>
        <v>74.6496815286624</v>
      </c>
      <c r="AG9" s="11" t="n">
        <f aca="false">IF($C9=1,100*(Q9-_xlfn.MINIFS(Q$6:Q$39,$C$6:$C$39,1))/(_xlfn.MAXIFS(Q$6:Q$39,$C$6:$C$39,1)-_xlfn.MINIFS(Q$6:Q$39,$C$6:$C$39,1)),"")</f>
        <v>81.8022722526257</v>
      </c>
      <c r="AH9" s="11" t="n">
        <f aca="false">IF($C9=1,AVERAGE(AD9:AG9),"")</f>
        <v>74.2003397069908</v>
      </c>
      <c r="AI9" s="11" t="n">
        <f aca="false">IF($C9=1,100*(_xlfn.MAXIFS(R$6:R$39,$C$6:$C$39,1)-R9)/(_xlfn.MAXIFS(R$6:R$39,$C$6:$C$39,1)-_xlfn.MINIFS(R$6:R$39,$C$6:$C$39,1)),"")</f>
        <v>88.7464572268543</v>
      </c>
      <c r="AJ9" s="11" t="n">
        <f aca="false">IF($C9=1,100*(_xlfn.MAXIFS(S$6:S$39,$C$6:$C$39,1)-S9)/(_xlfn.MAXIFS(S$6:S$39,$C$6:$C$39,1)-_xlfn.MINIFS(S$6:S$39,$C$6:$C$39,1)),"")</f>
        <v>90.7324673352827</v>
      </c>
      <c r="AK9" s="11" t="n">
        <f aca="false">IF($C9=1,100*(T9-_xlfn.MINIFS(T$6:T$39,$C$6:$C$39,1))/(_xlfn.MAXIFS(T$6:T$39,$C$6:$C$39,1)-_xlfn.MINIFS(T$6:T$39,$C$6:$C$39,1)),"")</f>
        <v>35.0883239052971</v>
      </c>
      <c r="AL9" s="11" t="n">
        <f aca="false">IF($C9=1,AVERAGE(AI9:AK9),"")</f>
        <v>71.5224161558114</v>
      </c>
      <c r="AM9" s="11" t="n">
        <f aca="false">IF($C9=1,100*(U9-_xlfn.MINIFS(U$6:U$39,$C$6:$C$39,1))/(_xlfn.MAXIFS(U$6:U$39,$C$6:$C$39,1)-_xlfn.MINIFS(U$6:U$39,$C$6:$C$39,1)),"")</f>
        <v>92.3418163447391</v>
      </c>
      <c r="AN9" s="11" t="n">
        <f aca="false">IF($C9=1,100*(V9-_xlfn.MINIFS(V$6:V$39,$C$6:$C$39,1))/(_xlfn.MAXIFS(V$6:V$39,$C$6:$C$39,1)-_xlfn.MINIFS(V$6:V$39,$C$6:$C$39,1)),"")</f>
        <v>0</v>
      </c>
      <c r="AO9" s="11" t="n">
        <f aca="false">IF($C9=1,100*(M9-_xlfn.MINIFS(M$6:M$39,$C$6:$C$39,1))/(_xlfn.MAXIFS(M$6:M$39,$C$6:$C$39,1)-_xlfn.MINIFS(M$6:M$39,$C$6:$C$39,1)),"")</f>
        <v>89.2773251675222</v>
      </c>
      <c r="AP9" s="11" t="n">
        <f aca="false">IF($C9=1,W9,"")</f>
        <v>0</v>
      </c>
      <c r="AQ9" s="15" t="n">
        <f aca="false">IF($C9=1,Inputs!$D$52*AH9+Inputs!$D$53*AL9+Inputs!$D$54*AM9+Inputs!$D$55*AN9+Inputs!$D$56*AO9+Inputs!$D$57*AP9,"")</f>
        <v>51.9235561410235</v>
      </c>
      <c r="AR9" s="12" t="n">
        <f aca="false">IF($C9=1,SQRT(AC9*AQ9),"")</f>
        <v>50.0154578175819</v>
      </c>
      <c r="AS9" s="41" t="n">
        <f aca="false">IF($C9=1,COUNTIFS($C$6:$C$39,1,$AR$6:$AR$39,"&gt;"&amp;AR9)+1,"")</f>
        <v>14</v>
      </c>
      <c r="AT9" s="13" t="n">
        <f aca="false">IF($C9=1,Inputs!$D$38+Inputs!$D$39*(1-AL9/100)+Inputs!$D$40*(1-AP9/100),"")</f>
        <v>0.171391033537675</v>
      </c>
      <c r="AU9" s="5" t="str">
        <f aca="false">IF($C9=1,IF(AC9&gt;=MEDIAN(AC$6:AC$39),IF(AQ9&gt;=MEDIAN(AQ$6:AQ$39),"Prioritise","Big but hard"),IF(AQ9&gt;=MEDIAN(AQ$6:AQ$39),"Easy but small","Deprioritise")),"")</f>
        <v>Big but hard</v>
      </c>
    </row>
    <row r="10" customFormat="false" ht="15" hidden="false" customHeight="false" outlineLevel="0" collapsed="false">
      <c r="A10" s="34" t="str">
        <f aca="false">Data!A10</f>
        <v>Chad</v>
      </c>
      <c r="B10" s="34" t="str">
        <f aca="false">Data!B10</f>
        <v>TCD</v>
      </c>
      <c r="C10" s="35" t="n">
        <f aca="false">Data!AB10</f>
        <v>1</v>
      </c>
      <c r="D10" s="32" t="n">
        <f aca="false">LN(MAX(Pools!R10,0.000001))</f>
        <v>1.62406782955385</v>
      </c>
      <c r="E10" s="36" t="n">
        <f aca="false">Pools!U10</f>
        <v>0.208030641706123</v>
      </c>
      <c r="F10" s="11" t="n">
        <f aca="false">IF(Data!H10="","",MAX(0,(Inputs!$D$67-Data!H10)*100))</f>
        <v>50.7328968364685</v>
      </c>
      <c r="G10" s="11" t="n">
        <f aca="false">IF(COUNT(Data!T10,Data!U10)=0,"",AVERAGE(Data!T10,Data!U10))</f>
        <v>3.1390180824866</v>
      </c>
      <c r="H10" s="11" t="str">
        <f aca="false">IF(Data!O10="","",MIN(Inputs!$D$60,Data!O10))</f>
        <v/>
      </c>
      <c r="I10" s="11" t="n">
        <f aca="false">IF(Data!I10="","",(Data!E10-Data!I10)*100)</f>
        <v>-1.8975153264691</v>
      </c>
      <c r="J10" s="11" t="n">
        <f aca="false">IF(F10="",MEDIAN(F$6:F$39),F10)</f>
        <v>50.7328968364685</v>
      </c>
      <c r="K10" s="11" t="n">
        <f aca="false">IF(G10="",MEDIAN(G$6:G$39),G10)</f>
        <v>3.1390180824866</v>
      </c>
      <c r="L10" s="11" t="n">
        <f aca="false">IF(H10="",MEDIAN(H$6:H$39),H10)</f>
        <v>2.60758279628465</v>
      </c>
      <c r="M10" s="11" t="n">
        <f aca="false">IF(I10="",MEDIAN(I$6:I$39),I10)</f>
        <v>-1.8975153264691</v>
      </c>
      <c r="N10" s="11" t="n">
        <f aca="false">IF(Data!L10="",MIN(Inputs!$D$59,MEDIAN(Data!$L$6:$L$39)),MIN(Inputs!$D$59,Data!L10))</f>
        <v>72.9289782617702</v>
      </c>
      <c r="O10" s="11" t="n">
        <f aca="false">IF(Data!M10="",MEDIAN(Data!$M$6:$M$39),Data!M10)</f>
        <v>12.62689972</v>
      </c>
      <c r="P10" s="11" t="n">
        <f aca="false">IF(Data!N10="",MEDIAN(Data!$N$6:$N$39),Data!N10)</f>
        <v>13.4</v>
      </c>
      <c r="Q10" s="11" t="n">
        <f aca="false">IF(Data!K10="",MEDIAN(Data!$K$6:$K$39),Data!K10)</f>
        <v>26.9315292389497</v>
      </c>
      <c r="R10" s="11" t="n">
        <f aca="false">IF(Data!Q10="",MIN(Inputs!$D$61,MEDIAN(Data!$Q$6:$Q$39)),MIN(Inputs!$D$61,Data!Q10))</f>
        <v>8.50796368035263</v>
      </c>
      <c r="S10" s="11" t="n">
        <f aca="false">IF(Data!R10="",MAX(Inputs!$D$63,MIN(Inputs!$D$62,MEDIAN(Data!$R$6:$R$39))),MAX(Inputs!$D$63,MIN(Inputs!$D$62,Data!R10)))</f>
        <v>2.97758321341949</v>
      </c>
      <c r="T10" s="11" t="n">
        <f aca="false">IF(Data!S10="",MEDIAN(Data!$S$6:$S$39),Data!S10)</f>
        <v>4.36013897245673</v>
      </c>
      <c r="U10" s="39" t="n">
        <f aca="false">Pools!E10</f>
        <v>0.638131148653199</v>
      </c>
      <c r="V10" s="40" t="n">
        <f aca="false">Data!W10</f>
        <v>20</v>
      </c>
      <c r="W10" s="40" t="n">
        <f aca="false">Data!X10</f>
        <v>40</v>
      </c>
      <c r="X10" s="11" t="n">
        <f aca="false">IF($C10=1,100*(D10-_xlfn.MINIFS(D$6:D$39,$C$6:$C$39,1))/(_xlfn.MAXIFS(D$6:D$39,$C$6:$C$39,1)-_xlfn.MINIFS(D$6:D$39,$C$6:$C$39,1)),"")</f>
        <v>25.9327859164963</v>
      </c>
      <c r="Y10" s="11" t="n">
        <f aca="false">IF($C10=1,100*(E10-_xlfn.MINIFS(E$6:E$39,$C$6:$C$39,1))/(_xlfn.MAXIFS(E$6:E$39,$C$6:$C$39,1)-_xlfn.MINIFS(E$6:E$39,$C$6:$C$39,1)),"")</f>
        <v>96.6291512299508</v>
      </c>
      <c r="Z10" s="11" t="n">
        <f aca="false">IF($C10=1,100*(J10-_xlfn.MINIFS(J$6:J$39,$C$6:$C$39,1))/(_xlfn.MAXIFS(J$6:J$39,$C$6:$C$39,1)-_xlfn.MINIFS(J$6:J$39,$C$6:$C$39,1)),"")</f>
        <v>94.1448053259211</v>
      </c>
      <c r="AA10" s="11" t="n">
        <f aca="false">IF($C10=1,100*(L10-_xlfn.MINIFS(L$6:L$39,$C$6:$C$39,1))/(_xlfn.MAXIFS(L$6:L$39,$C$6:$C$39,1)-_xlfn.MINIFS(L$6:L$39,$C$6:$C$39,1)),"")</f>
        <v>16.1925156095167</v>
      </c>
      <c r="AB10" s="11" t="n">
        <f aca="false">IF($C10=1,100*(K10-_xlfn.MINIFS(K$6:K$39,$C$6:$C$39,1))/(_xlfn.MAXIFS(K$6:K$39,$C$6:$C$39,1)-_xlfn.MINIFS(K$6:K$39,$C$6:$C$39,1)),"")</f>
        <v>0</v>
      </c>
      <c r="AC10" s="15" t="n">
        <f aca="false">IF($C10=1,Inputs!$D$46*X10+Inputs!$D$47*Y10+Inputs!$D$48*Z10+Inputs!$D$49*AA10+Inputs!$D$50*AB10,"")</f>
        <v>44.9529034570795</v>
      </c>
      <c r="AD10" s="11" t="n">
        <f aca="false">IF($C10=1,100*(N10-_xlfn.MINIFS(N$6:N$39,$C$6:$C$39,1))/(_xlfn.MAXIFS(N$6:N$39,$C$6:$C$39,1)-_xlfn.MINIFS(N$6:N$39,$C$6:$C$39,1)),"")</f>
        <v>46.4713404245292</v>
      </c>
      <c r="AE10" s="11" t="n">
        <f aca="false">IF($C10=1,100*(O10-_xlfn.MINIFS(O$6:O$39,$C$6:$C$39,1))/(_xlfn.MAXIFS(O$6:O$39,$C$6:$C$39,1)-_xlfn.MINIFS(O$6:O$39,$C$6:$C$39,1)),"")</f>
        <v>5.29777697165678</v>
      </c>
      <c r="AF10" s="11" t="n">
        <f aca="false">IF($C10=1,100*(P10-_xlfn.MINIFS(P$6:P$39,$C$6:$C$39,1))/(_xlfn.MAXIFS(P$6:P$39,$C$6:$C$39,1)-_xlfn.MINIFS(P$6:P$39,$C$6:$C$39,1)),"")</f>
        <v>0</v>
      </c>
      <c r="AG10" s="11" t="n">
        <f aca="false">IF($C10=1,100*(Q10-_xlfn.MINIFS(Q$6:Q$39,$C$6:$C$39,1))/(_xlfn.MAXIFS(Q$6:Q$39,$C$6:$C$39,1)-_xlfn.MINIFS(Q$6:Q$39,$C$6:$C$39,1)),"")</f>
        <v>20.7280522465886</v>
      </c>
      <c r="AH10" s="11" t="n">
        <f aca="false">IF($C10=1,AVERAGE(AD10:AG10),"")</f>
        <v>18.1242924106936</v>
      </c>
      <c r="AI10" s="11" t="n">
        <f aca="false">IF($C10=1,100*(_xlfn.MAXIFS(R$6:R$39,$C$6:$C$39,1)-R10)/(_xlfn.MAXIFS(R$6:R$39,$C$6:$C$39,1)-_xlfn.MINIFS(R$6:R$39,$C$6:$C$39,1)),"")</f>
        <v>82.3324154965257</v>
      </c>
      <c r="AJ10" s="11" t="n">
        <f aca="false">IF($C10=1,100*(_xlfn.MAXIFS(S$6:S$39,$C$6:$C$39,1)-S10)/(_xlfn.MAXIFS(S$6:S$39,$C$6:$C$39,1)-_xlfn.MINIFS(S$6:S$39,$C$6:$C$39,1)),"")</f>
        <v>90.7324673352827</v>
      </c>
      <c r="AK10" s="11" t="n">
        <f aca="false">IF($C10=1,100*(T10-_xlfn.MINIFS(T$6:T$39,$C$6:$C$39,1))/(_xlfn.MAXIFS(T$6:T$39,$C$6:$C$39,1)-_xlfn.MINIFS(T$6:T$39,$C$6:$C$39,1)),"")</f>
        <v>47.1154526450596</v>
      </c>
      <c r="AL10" s="11" t="n">
        <f aca="false">IF($C10=1,AVERAGE(AI10:AK10),"")</f>
        <v>73.393445158956</v>
      </c>
      <c r="AM10" s="11" t="n">
        <f aca="false">IF($C10=1,100*(U10-_xlfn.MINIFS(U$6:U$39,$C$6:$C$39,1))/(_xlfn.MAXIFS(U$6:U$39,$C$6:$C$39,1)-_xlfn.MINIFS(U$6:U$39,$C$6:$C$39,1)),"")</f>
        <v>57.7338778100621</v>
      </c>
      <c r="AN10" s="11" t="n">
        <f aca="false">IF($C10=1,100*(V10-_xlfn.MINIFS(V$6:V$39,$C$6:$C$39,1))/(_xlfn.MAXIFS(V$6:V$39,$C$6:$C$39,1)-_xlfn.MINIFS(V$6:V$39,$C$6:$C$39,1)),"")</f>
        <v>0</v>
      </c>
      <c r="AO10" s="11" t="n">
        <f aca="false">IF($C10=1,100*(M10-_xlfn.MINIFS(M$6:M$39,$C$6:$C$39,1))/(_xlfn.MAXIFS(M$6:M$39,$C$6:$C$39,1)-_xlfn.MINIFS(M$6:M$39,$C$6:$C$39,1)),"")</f>
        <v>6.62478895734847</v>
      </c>
      <c r="AP10" s="11" t="n">
        <f aca="false">IF($C10=1,W10,"")</f>
        <v>40</v>
      </c>
      <c r="AQ10" s="15" t="n">
        <f aca="false">IF($C10=1,Inputs!$D$52*AH10+Inputs!$D$53*AL10+Inputs!$D$54*AM10+Inputs!$D$55*AN10+Inputs!$D$56*AO10+Inputs!$D$57*AP10,"")</f>
        <v>35.6261080811741</v>
      </c>
      <c r="AR10" s="12" t="n">
        <f aca="false">IF($C10=1,SQRT(AC10*AQ10),"")</f>
        <v>40.0187080891488</v>
      </c>
      <c r="AS10" s="41" t="n">
        <f aca="false">IF($C10=1,COUNTIFS($C$6:$C$39,1,$AR$6:$AR$39,"&gt;"&amp;AR10)+1,"")</f>
        <v>22</v>
      </c>
      <c r="AT10" s="13" t="n">
        <f aca="false">IF($C10=1,Inputs!$D$38+Inputs!$D$39*(1-AL10/100)+Inputs!$D$40*(1-AP10/100),"")</f>
        <v>0.154642621936418</v>
      </c>
      <c r="AU10" s="5" t="str">
        <f aca="false">IF($C10=1,IF(AC10&gt;=MEDIAN(AC$6:AC$39),IF(AQ10&gt;=MEDIAN(AQ$6:AQ$39),"Prioritise","Big but hard"),IF(AQ10&gt;=MEDIAN(AQ$6:AQ$39),"Easy but small","Deprioritise")),"")</f>
        <v>Deprioritise</v>
      </c>
    </row>
    <row r="11" customFormat="false" ht="15" hidden="false" customHeight="false" outlineLevel="0" collapsed="false">
      <c r="A11" s="34" t="str">
        <f aca="false">Data!A11</f>
        <v>Comoros</v>
      </c>
      <c r="B11" s="34" t="str">
        <f aca="false">Data!B11</f>
        <v>COM</v>
      </c>
      <c r="C11" s="35" t="n">
        <f aca="false">Data!AB11</f>
        <v>0</v>
      </c>
      <c r="D11" s="32" t="n">
        <f aca="false">LN(MAX(Pools!R11,0.000001))</f>
        <v>-2.06600010961007</v>
      </c>
      <c r="E11" s="36" t="n">
        <f aca="false">Pools!U11</f>
        <v>0.170594339399553</v>
      </c>
      <c r="F11" s="11" t="n">
        <f aca="false">IF(Data!H11="","",MAX(0,(Inputs!$D$67-Data!H11)*100))</f>
        <v>48.9723818212412</v>
      </c>
      <c r="G11" s="11" t="n">
        <f aca="false">IF(COUNT(Data!T11,Data!U11)=0,"",AVERAGE(Data!T11,Data!U11))</f>
        <v>7.24259192944615</v>
      </c>
      <c r="H11" s="11" t="n">
        <f aca="false">IF(Data!O11="","",MIN(Inputs!$D$60,Data!O11))</f>
        <v>15</v>
      </c>
      <c r="I11" s="11" t="str">
        <f aca="false">IF(Data!I11="","",(Data!E11-Data!I11)*100)</f>
        <v/>
      </c>
      <c r="J11" s="11" t="n">
        <f aca="false">IF(F11="",MEDIAN(F$6:F$39),F11)</f>
        <v>48.9723818212412</v>
      </c>
      <c r="K11" s="11" t="n">
        <f aca="false">IF(G11="",MEDIAN(G$6:G$39),G11)</f>
        <v>7.24259192944615</v>
      </c>
      <c r="L11" s="11" t="n">
        <f aca="false">IF(H11="",MEDIAN(H$6:H$39),H11)</f>
        <v>15</v>
      </c>
      <c r="M11" s="11" t="n">
        <f aca="false">IF(I11="",MEDIAN(I$6:I$39),I11)</f>
        <v>19.3286053315569</v>
      </c>
      <c r="N11" s="11" t="n">
        <f aca="false">IF(Data!L11="",MIN(Inputs!$D$59,MEDIAN(Data!$L$6:$L$39)),MIN(Inputs!$D$59,Data!L11))</f>
        <v>109.855630436495</v>
      </c>
      <c r="O11" s="11" t="n">
        <f aca="false">IF(Data!M11="",MEDIAN(Data!$M$6:$M$39),Data!M11)</f>
        <v>32.51750183</v>
      </c>
      <c r="P11" s="11" t="n">
        <f aca="false">IF(Data!N11="",MEDIAN(Data!$N$6:$N$39),Data!N11)</f>
        <v>91.7</v>
      </c>
      <c r="Q11" s="11" t="n">
        <f aca="false">IF(Data!K11="",MEDIAN(Data!$K$6:$K$39),Data!K11)</f>
        <v>33.5392215673301</v>
      </c>
      <c r="R11" s="11" t="n">
        <f aca="false">IF(Data!Q11="",MIN(Inputs!$D$61,MEDIAN(Data!$Q$6:$Q$39)),MIN(Inputs!$D$61,Data!Q11))</f>
        <v>8.65256570263064</v>
      </c>
      <c r="S11" s="11" t="n">
        <f aca="false">IF(Data!R11="",MAX(Inputs!$D$63,MIN(Inputs!$D$62,MEDIAN(Data!$R$6:$R$39))),MAX(Inputs!$D$63,MIN(Inputs!$D$62,Data!R11)))</f>
        <v>2.95570964901512</v>
      </c>
      <c r="T11" s="11" t="n">
        <f aca="false">IF(Data!S11="",MEDIAN(Data!$S$6:$S$39),Data!S11)</f>
        <v>2.98037997018611</v>
      </c>
      <c r="U11" s="39" t="n">
        <f aca="false">Pools!E11</f>
        <v>0.310030205911023</v>
      </c>
      <c r="V11" s="40" t="n">
        <f aca="false">Data!W11</f>
        <v>20</v>
      </c>
      <c r="W11" s="40" t="n">
        <f aca="false">Data!X11</f>
        <v>40</v>
      </c>
      <c r="X11" s="11" t="str">
        <f aca="false">IF($C11=1,100*(D11-_xlfn.MINIFS(D$6:D$39,$C$6:$C$39,1))/(_xlfn.MAXIFS(D$6:D$39,$C$6:$C$39,1)-_xlfn.MINIFS(D$6:D$39,$C$6:$C$39,1)),"")</f>
        <v/>
      </c>
      <c r="Y11" s="11" t="str">
        <f aca="false">IF($C11=1,100*(E11-_xlfn.MINIFS(E$6:E$39,$C$6:$C$39,1))/(_xlfn.MAXIFS(E$6:E$39,$C$6:$C$39,1)-_xlfn.MINIFS(E$6:E$39,$C$6:$C$39,1)),"")</f>
        <v/>
      </c>
      <c r="Z11" s="11" t="str">
        <f aca="false">IF($C11=1,100*(J11-_xlfn.MINIFS(J$6:J$39,$C$6:$C$39,1))/(_xlfn.MAXIFS(J$6:J$39,$C$6:$C$39,1)-_xlfn.MINIFS(J$6:J$39,$C$6:$C$39,1)),"")</f>
        <v/>
      </c>
      <c r="AA11" s="11" t="str">
        <f aca="false">IF($C11=1,100*(L11-_xlfn.MINIFS(L$6:L$39,$C$6:$C$39,1))/(_xlfn.MAXIFS(L$6:L$39,$C$6:$C$39,1)-_xlfn.MINIFS(L$6:L$39,$C$6:$C$39,1)),"")</f>
        <v/>
      </c>
      <c r="AB11" s="11" t="str">
        <f aca="false">IF($C11=1,100*(K11-_xlfn.MINIFS(K$6:K$39,$C$6:$C$39,1))/(_xlfn.MAXIFS(K$6:K$39,$C$6:$C$39,1)-_xlfn.MINIFS(K$6:K$39,$C$6:$C$39,1)),"")</f>
        <v/>
      </c>
      <c r="AC11" s="15" t="str">
        <f aca="false">IF($C11=1,Inputs!$D$46*X11+Inputs!$D$47*Y11+Inputs!$D$48*Z11+Inputs!$D$49*AA11+Inputs!$D$50*AB11,"")</f>
        <v/>
      </c>
      <c r="AD11" s="11" t="str">
        <f aca="false">IF($C11=1,100*(N11-_xlfn.MINIFS(N$6:N$39,$C$6:$C$39,1))/(_xlfn.MAXIFS(N$6:N$39,$C$6:$C$39,1)-_xlfn.MINIFS(N$6:N$39,$C$6:$C$39,1)),"")</f>
        <v/>
      </c>
      <c r="AE11" s="11" t="str">
        <f aca="false">IF($C11=1,100*(O11-_xlfn.MINIFS(O$6:O$39,$C$6:$C$39,1))/(_xlfn.MAXIFS(O$6:O$39,$C$6:$C$39,1)-_xlfn.MINIFS(O$6:O$39,$C$6:$C$39,1)),"")</f>
        <v/>
      </c>
      <c r="AF11" s="11" t="str">
        <f aca="false">IF($C11=1,100*(P11-_xlfn.MINIFS(P$6:P$39,$C$6:$C$39,1))/(_xlfn.MAXIFS(P$6:P$39,$C$6:$C$39,1)-_xlfn.MINIFS(P$6:P$39,$C$6:$C$39,1)),"")</f>
        <v/>
      </c>
      <c r="AG11" s="11" t="str">
        <f aca="false">IF($C11=1,100*(Q11-_xlfn.MINIFS(Q$6:Q$39,$C$6:$C$39,1))/(_xlfn.MAXIFS(Q$6:Q$39,$C$6:$C$39,1)-_xlfn.MINIFS(Q$6:Q$39,$C$6:$C$39,1)),"")</f>
        <v/>
      </c>
      <c r="AH11" s="11" t="str">
        <f aca="false">IF($C11=1,AVERAGE(AD11:AG11),"")</f>
        <v/>
      </c>
      <c r="AI11" s="11" t="str">
        <f aca="false">IF($C11=1,100*(_xlfn.MAXIFS(R$6:R$39,$C$6:$C$39,1)-R11)/(_xlfn.MAXIFS(R$6:R$39,$C$6:$C$39,1)-_xlfn.MINIFS(R$6:R$39,$C$6:$C$39,1)),"")</f>
        <v/>
      </c>
      <c r="AJ11" s="11" t="str">
        <f aca="false">IF($C11=1,100*(_xlfn.MAXIFS(S$6:S$39,$C$6:$C$39,1)-S11)/(_xlfn.MAXIFS(S$6:S$39,$C$6:$C$39,1)-_xlfn.MINIFS(S$6:S$39,$C$6:$C$39,1)),"")</f>
        <v/>
      </c>
      <c r="AK11" s="11" t="str">
        <f aca="false">IF($C11=1,100*(T11-_xlfn.MINIFS(T$6:T$39,$C$6:$C$39,1))/(_xlfn.MAXIFS(T$6:T$39,$C$6:$C$39,1)-_xlfn.MINIFS(T$6:T$39,$C$6:$C$39,1)),"")</f>
        <v/>
      </c>
      <c r="AL11" s="11" t="str">
        <f aca="false">IF($C11=1,AVERAGE(AI11:AK11),"")</f>
        <v/>
      </c>
      <c r="AM11" s="11" t="str">
        <f aca="false">IF($C11=1,100*(U11-_xlfn.MINIFS(U$6:U$39,$C$6:$C$39,1))/(_xlfn.MAXIFS(U$6:U$39,$C$6:$C$39,1)-_xlfn.MINIFS(U$6:U$39,$C$6:$C$39,1)),"")</f>
        <v/>
      </c>
      <c r="AN11" s="11" t="str">
        <f aca="false">IF($C11=1,100*(V11-_xlfn.MINIFS(V$6:V$39,$C$6:$C$39,1))/(_xlfn.MAXIFS(V$6:V$39,$C$6:$C$39,1)-_xlfn.MINIFS(V$6:V$39,$C$6:$C$39,1)),"")</f>
        <v/>
      </c>
      <c r="AO11" s="11" t="str">
        <f aca="false">IF($C11=1,100*(M11-_xlfn.MINIFS(M$6:M$39,$C$6:$C$39,1))/(_xlfn.MAXIFS(M$6:M$39,$C$6:$C$39,1)-_xlfn.MINIFS(M$6:M$39,$C$6:$C$39,1)),"")</f>
        <v/>
      </c>
      <c r="AP11" s="11" t="str">
        <f aca="false">IF($C11=1,W11,"")</f>
        <v/>
      </c>
      <c r="AQ11" s="15" t="str">
        <f aca="false">IF($C11=1,Inputs!$D$52*AH11+Inputs!$D$53*AL11+Inputs!$D$54*AM11+Inputs!$D$55*AN11+Inputs!$D$56*AO11+Inputs!$D$57*AP11,"")</f>
        <v/>
      </c>
      <c r="AR11" s="12" t="str">
        <f aca="false">IF($C11=1,SQRT(AC11*AQ11),"")</f>
        <v/>
      </c>
      <c r="AS11" s="41" t="str">
        <f aca="false">IF($C11=1,COUNTIFS($C$6:$C$39,1,$AR$6:$AR$39,"&gt;"&amp;AR11)+1,"")</f>
        <v/>
      </c>
      <c r="AT11" s="13" t="str">
        <f aca="false">IF($C11=1,Inputs!$D$38+Inputs!$D$39*(1-AL11/100)+Inputs!$D$40*(1-AP11/100),"")</f>
        <v/>
      </c>
      <c r="AU11" s="5" t="str">
        <f aca="false">IF($C11=1,IF(AC11&gt;=MEDIAN(AC$6:AC$39),IF(AQ11&gt;=MEDIAN(AQ$6:AQ$39),"Prioritise","Big but hard"),IF(AQ11&gt;=MEDIAN(AQ$6:AQ$39),"Easy but small","Deprioritise")),"")</f>
        <v/>
      </c>
    </row>
    <row r="12" customFormat="false" ht="15" hidden="false" customHeight="false" outlineLevel="0" collapsed="false">
      <c r="A12" s="34" t="str">
        <f aca="false">Data!A12</f>
        <v>Congo, Dem. Rep.</v>
      </c>
      <c r="B12" s="34" t="str">
        <f aca="false">Data!B12</f>
        <v>COD</v>
      </c>
      <c r="C12" s="35" t="n">
        <f aca="false">Data!AB12</f>
        <v>1</v>
      </c>
      <c r="D12" s="32" t="n">
        <f aca="false">LN(MAX(Pools!R12,0.000001))</f>
        <v>3.91969743590873</v>
      </c>
      <c r="E12" s="36" t="n">
        <f aca="false">Pools!U12</f>
        <v>0.132766047009298</v>
      </c>
      <c r="F12" s="11" t="n">
        <f aca="false">IF(Data!H12="","",MAX(0,(Inputs!$D$67-Data!H12)*100))</f>
        <v>48.3445836774319</v>
      </c>
      <c r="G12" s="11" t="n">
        <f aca="false">IF(COUNT(Data!T12,Data!U12)=0,"",AVERAGE(Data!T12,Data!U12))</f>
        <v>16.6179976124261</v>
      </c>
      <c r="H12" s="11" t="n">
        <f aca="false">IF(Data!O12="","",MIN(Inputs!$D$60,Data!O12))</f>
        <v>2.64241574731216</v>
      </c>
      <c r="I12" s="11" t="n">
        <f aca="false">IF(Data!I12="","",(Data!E12-Data!I12)*100)</f>
        <v>19.0218982154273</v>
      </c>
      <c r="J12" s="11" t="n">
        <f aca="false">IF(F12="",MEDIAN(F$6:F$39),F12)</f>
        <v>48.3445836774319</v>
      </c>
      <c r="K12" s="11" t="n">
        <f aca="false">IF(G12="",MEDIAN(G$6:G$39),G12)</f>
        <v>16.6179976124261</v>
      </c>
      <c r="L12" s="11" t="n">
        <f aca="false">IF(H12="",MEDIAN(H$6:H$39),H12)</f>
        <v>2.64241574731216</v>
      </c>
      <c r="M12" s="11" t="n">
        <f aca="false">IF(I12="",MEDIAN(I$6:I$39),I12)</f>
        <v>19.0218982154273</v>
      </c>
      <c r="N12" s="11" t="n">
        <f aca="false">IF(Data!L12="",MIN(Inputs!$D$59,MEDIAN(Data!$L$6:$L$39)),MIN(Inputs!$D$59,Data!L12))</f>
        <v>58.532153345468</v>
      </c>
      <c r="O12" s="11" t="n">
        <f aca="false">IF(Data!M12="",MEDIAN(Data!$M$6:$M$39),Data!M12)</f>
        <v>19.67350006</v>
      </c>
      <c r="P12" s="11" t="n">
        <f aca="false">IF(Data!N12="",MEDIAN(Data!$N$6:$N$39),Data!N12)</f>
        <v>22.5</v>
      </c>
      <c r="Q12" s="11" t="n">
        <f aca="false">IF(Data!K12="",MEDIAN(Data!$K$6:$K$39),Data!K12)</f>
        <v>44.7455804408753</v>
      </c>
      <c r="R12" s="11" t="n">
        <f aca="false">IF(Data!Q12="",MIN(Inputs!$D$61,MEDIAN(Data!$Q$6:$Q$39)),MIN(Inputs!$D$61,Data!Q12))</f>
        <v>6.75675252309681</v>
      </c>
      <c r="S12" s="11" t="n">
        <f aca="false">IF(Data!R12="",MAX(Inputs!$D$63,MIN(Inputs!$D$62,MEDIAN(Data!$R$6:$R$39))),MAX(Inputs!$D$63,MIN(Inputs!$D$62,Data!R12)))</f>
        <v>8.11686944539378</v>
      </c>
      <c r="T12" s="11" t="n">
        <f aca="false">IF(Data!S12="",MEDIAN(Data!$S$6:$S$39),Data!S12)</f>
        <v>7.98239623892686</v>
      </c>
      <c r="U12" s="39" t="n">
        <f aca="false">Pools!E12</f>
        <v>0.895553335442012</v>
      </c>
      <c r="V12" s="40" t="n">
        <f aca="false">Data!W12</f>
        <v>100</v>
      </c>
      <c r="W12" s="40" t="n">
        <f aca="false">Data!X12</f>
        <v>0</v>
      </c>
      <c r="X12" s="11" t="n">
        <f aca="false">IF($C12=1,100*(D12-_xlfn.MINIFS(D$6:D$39,$C$6:$C$39,1))/(_xlfn.MAXIFS(D$6:D$39,$C$6:$C$39,1)-_xlfn.MINIFS(D$6:D$39,$C$6:$C$39,1)),"")</f>
        <v>81.2494994358752</v>
      </c>
      <c r="Y12" s="11" t="n">
        <f aca="false">IF($C12=1,100*(E12-_xlfn.MINIFS(E$6:E$39,$C$6:$C$39,1))/(_xlfn.MAXIFS(E$6:E$39,$C$6:$C$39,1)-_xlfn.MINIFS(E$6:E$39,$C$6:$C$39,1)),"")</f>
        <v>51.9469793301974</v>
      </c>
      <c r="Z12" s="11" t="n">
        <f aca="false">IF($C12=1,100*(J12-_xlfn.MINIFS(J$6:J$39,$C$6:$C$39,1))/(_xlfn.MAXIFS(J$6:J$39,$C$6:$C$39,1)-_xlfn.MINIFS(J$6:J$39,$C$6:$C$39,1)),"")</f>
        <v>88.7786155329052</v>
      </c>
      <c r="AA12" s="11" t="n">
        <f aca="false">IF($C12=1,100*(L12-_xlfn.MINIFS(L$6:L$39,$C$6:$C$39,1))/(_xlfn.MAXIFS(L$6:L$39,$C$6:$C$39,1)-_xlfn.MINIFS(L$6:L$39,$C$6:$C$39,1)),"")</f>
        <v>16.4280840181269</v>
      </c>
      <c r="AB12" s="11" t="n">
        <f aca="false">IF($C12=1,100*(K12-_xlfn.MINIFS(K$6:K$39,$C$6:$C$39,1))/(_xlfn.MAXIFS(K$6:K$39,$C$6:$C$39,1)-_xlfn.MINIFS(K$6:K$39,$C$6:$C$39,1)),"")</f>
        <v>61.1908425782866</v>
      </c>
      <c r="AC12" s="15" t="n">
        <f aca="false">IF($C12=1,Inputs!$D$46*X12+Inputs!$D$47*Y12+Inputs!$D$48*Z12+Inputs!$D$49*AA12+Inputs!$D$50*AB12,"")</f>
        <v>63.7863519879936</v>
      </c>
      <c r="AD12" s="11" t="n">
        <f aca="false">IF($C12=1,100*(N12-_xlfn.MINIFS(N$6:N$39,$C$6:$C$39,1))/(_xlfn.MAXIFS(N$6:N$39,$C$6:$C$39,1)-_xlfn.MINIFS(N$6:N$39,$C$6:$C$39,1)),"")</f>
        <v>30.0994259970482</v>
      </c>
      <c r="AE12" s="11" t="n">
        <f aca="false">IF($C12=1,100*(O12-_xlfn.MINIFS(O$6:O$39,$C$6:$C$39,1))/(_xlfn.MAXIFS(O$6:O$39,$C$6:$C$39,1)-_xlfn.MINIFS(O$6:O$39,$C$6:$C$39,1)),"")</f>
        <v>15.4502436432672</v>
      </c>
      <c r="AF12" s="11" t="n">
        <f aca="false">IF($C12=1,100*(P12-_xlfn.MINIFS(P$6:P$39,$C$6:$C$39,1))/(_xlfn.MAXIFS(P$6:P$39,$C$6:$C$39,1)-_xlfn.MINIFS(P$6:P$39,$C$6:$C$39,1)),"")</f>
        <v>11.5923566878981</v>
      </c>
      <c r="AG12" s="11" t="n">
        <f aca="false">IF($C12=1,100*(Q12-_xlfn.MINIFS(Q$6:Q$39,$C$6:$C$39,1))/(_xlfn.MAXIFS(Q$6:Q$39,$C$6:$C$39,1)-_xlfn.MINIFS(Q$6:Q$39,$C$6:$C$39,1)),"")</f>
        <v>58.9407813860007</v>
      </c>
      <c r="AH12" s="11" t="n">
        <f aca="false">IF($C12=1,AVERAGE(AD12:AG12),"")</f>
        <v>29.0207019285536</v>
      </c>
      <c r="AI12" s="11" t="n">
        <f aca="false">IF($C12=1,100*(_xlfn.MAXIFS(R$6:R$39,$C$6:$C$39,1)-R12)/(_xlfn.MAXIFS(R$6:R$39,$C$6:$C$39,1)-_xlfn.MINIFS(R$6:R$39,$C$6:$C$39,1)),"")</f>
        <v>86.9107616903977</v>
      </c>
      <c r="AJ12" s="11" t="n">
        <f aca="false">IF($C12=1,100*(_xlfn.MAXIFS(S$6:S$39,$C$6:$C$39,1)-S12)/(_xlfn.MAXIFS(S$6:S$39,$C$6:$C$39,1)-_xlfn.MINIFS(S$6:S$39,$C$6:$C$39,1)),"")</f>
        <v>78.1373922255915</v>
      </c>
      <c r="AK12" s="11" t="n">
        <f aca="false">IF($C12=1,100*(T12-_xlfn.MINIFS(T$6:T$39,$C$6:$C$39,1))/(_xlfn.MAXIFS(T$6:T$39,$C$6:$C$39,1)-_xlfn.MINIFS(T$6:T$39,$C$6:$C$39,1)),"")</f>
        <v>100</v>
      </c>
      <c r="AL12" s="11" t="n">
        <f aca="false">IF($C12=1,AVERAGE(AI12:AK12),"")</f>
        <v>88.3493846386631</v>
      </c>
      <c r="AM12" s="11" t="n">
        <f aca="false">IF($C12=1,100*(U12-_xlfn.MINIFS(U$6:U$39,$C$6:$C$39,1))/(_xlfn.MAXIFS(U$6:U$39,$C$6:$C$39,1)-_xlfn.MINIFS(U$6:U$39,$C$6:$C$39,1)),"")</f>
        <v>91.1688894140418</v>
      </c>
      <c r="AN12" s="11" t="n">
        <f aca="false">IF($C12=1,100*(V12-_xlfn.MINIFS(V$6:V$39,$C$6:$C$39,1))/(_xlfn.MAXIFS(V$6:V$39,$C$6:$C$39,1)-_xlfn.MINIFS(V$6:V$39,$C$6:$C$39,1)),"")</f>
        <v>100</v>
      </c>
      <c r="AO12" s="11" t="n">
        <f aca="false">IF($C12=1,100*(M12-_xlfn.MINIFS(M$6:M$39,$C$6:$C$39,1))/(_xlfn.MAXIFS(M$6:M$39,$C$6:$C$39,1)-_xlfn.MINIFS(M$6:M$39,$C$6:$C$39,1)),"")</f>
        <v>47.9645835717225</v>
      </c>
      <c r="AP12" s="11" t="n">
        <f aca="false">IF($C12=1,W12,"")</f>
        <v>0</v>
      </c>
      <c r="AQ12" s="15" t="n">
        <f aca="false">IF($C12=1,Inputs!$D$52*AH12+Inputs!$D$53*AL12+Inputs!$D$54*AM12+Inputs!$D$55*AN12+Inputs!$D$56*AO12+Inputs!$D$57*AP12,"")</f>
        <v>56.9458090827218</v>
      </c>
      <c r="AR12" s="12" t="n">
        <f aca="false">IF($C12=1,SQRT(AC12*AQ12),"")</f>
        <v>60.2691083590224</v>
      </c>
      <c r="AS12" s="41" t="n">
        <f aca="false">IF($C12=1,COUNTIFS($C$6:$C$39,1,$AR$6:$AR$39,"&gt;"&amp;AR12)+1,"")</f>
        <v>4</v>
      </c>
      <c r="AT12" s="13" t="n">
        <f aca="false">IF($C12=1,Inputs!$D$38+Inputs!$D$39*(1-AL12/100)+Inputs!$D$40*(1-AP12/100),"")</f>
        <v>0.164660246144535</v>
      </c>
      <c r="AU12" s="5" t="str">
        <f aca="false">IF($C12=1,IF(AC12&gt;=MEDIAN(AC$6:AC$39),IF(AQ12&gt;=MEDIAN(AQ$6:AQ$39),"Prioritise","Big but hard"),IF(AQ12&gt;=MEDIAN(AQ$6:AQ$39),"Easy but small","Deprioritise")),"")</f>
        <v>Big but hard</v>
      </c>
    </row>
    <row r="13" customFormat="false" ht="15" hidden="false" customHeight="false" outlineLevel="0" collapsed="false">
      <c r="A13" s="34" t="str">
        <f aca="false">Data!A13</f>
        <v>Congo, Rep.</v>
      </c>
      <c r="B13" s="34" t="str">
        <f aca="false">Data!B13</f>
        <v>COG</v>
      </c>
      <c r="C13" s="35" t="n">
        <f aca="false">Data!AB13</f>
        <v>1</v>
      </c>
      <c r="D13" s="32" t="n">
        <f aca="false">LN(MAX(Pools!R13,0.000001))</f>
        <v>1.66688104957089</v>
      </c>
      <c r="E13" s="36" t="n">
        <f aca="false">Pools!U13</f>
        <v>0.0915426085449074</v>
      </c>
      <c r="F13" s="11" t="n">
        <f aca="false">IF(Data!H13="","",MAX(0,(Inputs!$D$67-Data!H13)*100))</f>
        <v>45.8312666751548</v>
      </c>
      <c r="G13" s="11" t="n">
        <f aca="false">IF(COUNT(Data!T13,Data!U13)=0,"",AVERAGE(Data!T13,Data!U13))</f>
        <v>13.5900383137532</v>
      </c>
      <c r="H13" s="11" t="str">
        <f aca="false">IF(Data!O13="","",MIN(Inputs!$D$60,Data!O13))</f>
        <v/>
      </c>
      <c r="I13" s="11" t="n">
        <f aca="false">IF(Data!I13="","",(Data!E13-Data!I13)*100)</f>
        <v>45.353678652223</v>
      </c>
      <c r="J13" s="11" t="n">
        <f aca="false">IF(F13="",MEDIAN(F$6:F$39),F13)</f>
        <v>45.8312666751548</v>
      </c>
      <c r="K13" s="11" t="n">
        <f aca="false">IF(G13="",MEDIAN(G$6:G$39),G13)</f>
        <v>13.5900383137532</v>
      </c>
      <c r="L13" s="11" t="n">
        <f aca="false">IF(H13="",MEDIAN(H$6:H$39),H13)</f>
        <v>2.60758279628465</v>
      </c>
      <c r="M13" s="11" t="n">
        <f aca="false">IF(I13="",MEDIAN(I$6:I$39),I13)</f>
        <v>45.353678652223</v>
      </c>
      <c r="N13" s="11" t="n">
        <f aca="false">IF(Data!L13="",MIN(Inputs!$D$59,MEDIAN(Data!$L$6:$L$39)),MIN(Inputs!$D$59,Data!L13))</f>
        <v>95.5319320614796</v>
      </c>
      <c r="O13" s="11" t="n">
        <f aca="false">IF(Data!M13="",MEDIAN(Data!$M$6:$M$39),Data!M13)</f>
        <v>47.25159836</v>
      </c>
      <c r="P13" s="11" t="n">
        <f aca="false">IF(Data!N13="",MEDIAN(Data!$N$6:$N$39),Data!N13)</f>
        <v>53</v>
      </c>
      <c r="Q13" s="11" t="n">
        <f aca="false">IF(Data!K13="",MEDIAN(Data!$K$6:$K$39),Data!K13)</f>
        <v>63.8866111699904</v>
      </c>
      <c r="R13" s="11" t="n">
        <f aca="false">IF(Data!Q13="",MIN(Inputs!$D$61,MEDIAN(Data!$Q$6:$Q$39)),MIN(Inputs!$D$61,Data!Q13))</f>
        <v>3.4788750973622</v>
      </c>
      <c r="S13" s="11" t="n">
        <f aca="false">IF(Data!R13="",MAX(Inputs!$D$63,MIN(Inputs!$D$62,MEDIAN(Data!$R$6:$R$39))),MAX(Inputs!$D$63,MIN(Inputs!$D$62,Data!R13)))</f>
        <v>2.97758321341949</v>
      </c>
      <c r="T13" s="11" t="n">
        <f aca="false">IF(Data!S13="",MEDIAN(Data!$S$6:$S$39),Data!S13)</f>
        <v>1.82740319198802</v>
      </c>
      <c r="U13" s="39" t="n">
        <f aca="false">Pools!E13</f>
        <v>0.928315850589966</v>
      </c>
      <c r="V13" s="40" t="n">
        <f aca="false">Data!W13</f>
        <v>20</v>
      </c>
      <c r="W13" s="40" t="n">
        <f aca="false">Data!X13</f>
        <v>40</v>
      </c>
      <c r="X13" s="11" t="n">
        <f aca="false">IF($C13=1,100*(D13-_xlfn.MINIFS(D$6:D$39,$C$6:$C$39,1))/(_xlfn.MAXIFS(D$6:D$39,$C$6:$C$39,1)-_xlfn.MINIFS(D$6:D$39,$C$6:$C$39,1)),"")</f>
        <v>26.9644360659666</v>
      </c>
      <c r="Y13" s="11" t="n">
        <f aca="false">IF($C13=1,100*(E13-_xlfn.MINIFS(E$6:E$39,$C$6:$C$39,1))/(_xlfn.MAXIFS(E$6:E$39,$C$6:$C$39,1)-_xlfn.MINIFS(E$6:E$39,$C$6:$C$39,1)),"")</f>
        <v>27.4739482697844</v>
      </c>
      <c r="Z13" s="11" t="n">
        <f aca="false">IF($C13=1,100*(J13-_xlfn.MINIFS(J$6:J$39,$C$6:$C$39,1))/(_xlfn.MAXIFS(J$6:J$39,$C$6:$C$39,1)-_xlfn.MINIFS(J$6:J$39,$C$6:$C$39,1)),"")</f>
        <v>83.1315604165347</v>
      </c>
      <c r="AA13" s="11" t="n">
        <f aca="false">IF($C13=1,100*(L13-_xlfn.MINIFS(L$6:L$39,$C$6:$C$39,1))/(_xlfn.MAXIFS(L$6:L$39,$C$6:$C$39,1)-_xlfn.MINIFS(L$6:L$39,$C$6:$C$39,1)),"")</f>
        <v>16.1925156095167</v>
      </c>
      <c r="AB13" s="11" t="n">
        <f aca="false">IF($C13=1,100*(K13-_xlfn.MINIFS(K$6:K$39,$C$6:$C$39,1))/(_xlfn.MAXIFS(K$6:K$39,$C$6:$C$39,1)-_xlfn.MINIFS(K$6:K$39,$C$6:$C$39,1)),"")</f>
        <v>47.4447440426369</v>
      </c>
      <c r="AC13" s="15" t="n">
        <f aca="false">IF($C13=1,Inputs!$D$46*X13+Inputs!$D$47*Y13+Inputs!$D$48*Z13+Inputs!$D$49*AA13+Inputs!$D$50*AB13,"")</f>
        <v>36.9476652873485</v>
      </c>
      <c r="AD13" s="11" t="n">
        <f aca="false">IF($C13=1,100*(N13-_xlfn.MINIFS(N$6:N$39,$C$6:$C$39,1))/(_xlfn.MAXIFS(N$6:N$39,$C$6:$C$39,1)-_xlfn.MINIFS(N$6:N$39,$C$6:$C$39,1)),"")</f>
        <v>72.1751763444979</v>
      </c>
      <c r="AE13" s="11" t="n">
        <f aca="false">IF($C13=1,100*(O13-_xlfn.MINIFS(O$6:O$39,$C$6:$C$39,1))/(_xlfn.MAXIFS(O$6:O$39,$C$6:$C$39,1)-_xlfn.MINIFS(O$6:O$39,$C$6:$C$39,1)),"")</f>
        <v>55.1836910289248</v>
      </c>
      <c r="AF13" s="11" t="n">
        <f aca="false">IF($C13=1,100*(P13-_xlfn.MINIFS(P$6:P$39,$C$6:$C$39,1))/(_xlfn.MAXIFS(P$6:P$39,$C$6:$C$39,1)-_xlfn.MINIFS(P$6:P$39,$C$6:$C$39,1)),"")</f>
        <v>50.4458598726115</v>
      </c>
      <c r="AG13" s="11" t="n">
        <f aca="false">IF($C13=1,100*(Q13-_xlfn.MINIFS(Q$6:Q$39,$C$6:$C$39,1))/(_xlfn.MAXIFS(Q$6:Q$39,$C$6:$C$39,1)-_xlfn.MINIFS(Q$6:Q$39,$C$6:$C$39,1)),"")</f>
        <v>100</v>
      </c>
      <c r="AH13" s="11" t="n">
        <f aca="false">IF($C13=1,AVERAGE(AD13:AG13),"")</f>
        <v>69.4511818115086</v>
      </c>
      <c r="AI13" s="11" t="n">
        <f aca="false">IF($C13=1,100*(_xlfn.MAXIFS(R$6:R$39,$C$6:$C$39,1)-R13)/(_xlfn.MAXIFS(R$6:R$39,$C$6:$C$39,1)-_xlfn.MINIFS(R$6:R$39,$C$6:$C$39,1)),"")</f>
        <v>95.4804065181567</v>
      </c>
      <c r="AJ13" s="11" t="n">
        <f aca="false">IF($C13=1,100*(_xlfn.MAXIFS(S$6:S$39,$C$6:$C$39,1)-S13)/(_xlfn.MAXIFS(S$6:S$39,$C$6:$C$39,1)-_xlfn.MINIFS(S$6:S$39,$C$6:$C$39,1)),"")</f>
        <v>90.7324673352827</v>
      </c>
      <c r="AK13" s="11" t="n">
        <f aca="false">IF($C13=1,100*(T13-_xlfn.MINIFS(T$6:T$39,$C$6:$C$39,1))/(_xlfn.MAXIFS(T$6:T$39,$C$6:$C$39,1)-_xlfn.MINIFS(T$6:T$39,$C$6:$C$39,1)),"")</f>
        <v>10.1377960441313</v>
      </c>
      <c r="AL13" s="11" t="n">
        <f aca="false">IF($C13=1,AVERAGE(AI13:AK13),"")</f>
        <v>65.4502232991903</v>
      </c>
      <c r="AM13" s="11" t="n">
        <f aca="false">IF($C13=1,100*(U13-_xlfn.MINIFS(U$6:U$39,$C$6:$C$39,1))/(_xlfn.MAXIFS(U$6:U$39,$C$6:$C$39,1)-_xlfn.MINIFS(U$6:U$39,$C$6:$C$39,1)),"")</f>
        <v>95.4242144418184</v>
      </c>
      <c r="AN13" s="11" t="n">
        <f aca="false">IF($C13=1,100*(V13-_xlfn.MINIFS(V$6:V$39,$C$6:$C$39,1))/(_xlfn.MAXIFS(V$6:V$39,$C$6:$C$39,1)-_xlfn.MINIFS(V$6:V$39,$C$6:$C$39,1)),"")</f>
        <v>0</v>
      </c>
      <c r="AO13" s="11" t="n">
        <f aca="false">IF($C13=1,100*(M13-_xlfn.MINIFS(M$6:M$39,$C$6:$C$39,1))/(_xlfn.MAXIFS(M$6:M$39,$C$6:$C$39,1)-_xlfn.MINIFS(M$6:M$39,$C$6:$C$39,1)),"")</f>
        <v>100</v>
      </c>
      <c r="AP13" s="11" t="n">
        <f aca="false">IF($C13=1,W13,"")</f>
        <v>40</v>
      </c>
      <c r="AQ13" s="15" t="n">
        <f aca="false">IF($C13=1,Inputs!$D$52*AH13+Inputs!$D$53*AL13+Inputs!$D$54*AM13+Inputs!$D$55*AN13+Inputs!$D$56*AO13+Inputs!$D$57*AP13,"")</f>
        <v>59.2939131884125</v>
      </c>
      <c r="AR13" s="12" t="n">
        <f aca="false">IF($C13=1,SQRT(AC13*AQ13),"")</f>
        <v>46.805679762851</v>
      </c>
      <c r="AS13" s="41" t="n">
        <f aca="false">IF($C13=1,COUNTIFS($C$6:$C$39,1,$AR$6:$AR$39,"&gt;"&amp;AR13)+1,"")</f>
        <v>19</v>
      </c>
      <c r="AT13" s="13" t="n">
        <f aca="false">IF($C13=1,Inputs!$D$38+Inputs!$D$39*(1-AL13/100)+Inputs!$D$40*(1-AP13/100),"")</f>
        <v>0.157819910680324</v>
      </c>
      <c r="AU13" s="5" t="str">
        <f aca="false">IF($C13=1,IF(AC13&gt;=MEDIAN(AC$6:AC$39),IF(AQ13&gt;=MEDIAN(AQ$6:AQ$39),"Prioritise","Big but hard"),IF(AQ13&gt;=MEDIAN(AQ$6:AQ$39),"Easy but small","Deprioritise")),"")</f>
        <v>Easy but small</v>
      </c>
    </row>
    <row r="14" customFormat="false" ht="15" hidden="false" customHeight="false" outlineLevel="0" collapsed="false">
      <c r="A14" s="34" t="str">
        <f aca="false">Data!A14</f>
        <v>Cote d'Ivoire</v>
      </c>
      <c r="B14" s="34" t="str">
        <f aca="false">Data!B14</f>
        <v>CIV</v>
      </c>
      <c r="C14" s="35" t="n">
        <f aca="false">Data!AB14</f>
        <v>1</v>
      </c>
      <c r="D14" s="32" t="n">
        <f aca="false">LN(MAX(Pools!R14,0.000001))</f>
        <v>3.30718918387029</v>
      </c>
      <c r="E14" s="36" t="n">
        <f aca="false">Pools!U14</f>
        <v>0.0888343760653156</v>
      </c>
      <c r="F14" s="11" t="n">
        <f aca="false">IF(Data!H14="","",MAX(0,(Inputs!$D$67-Data!H14)*100))</f>
        <v>46.5973985448841</v>
      </c>
      <c r="G14" s="11" t="n">
        <f aca="false">IF(COUNT(Data!T14,Data!U14)=0,"",AVERAGE(Data!T14,Data!U14))</f>
        <v>15.424250548802</v>
      </c>
      <c r="H14" s="11" t="n">
        <f aca="false">IF(Data!O14="","",MIN(Inputs!$D$60,Data!O14))</f>
        <v>2.03272330773983</v>
      </c>
      <c r="I14" s="11" t="n">
        <f aca="false">IF(Data!I14="","",(Data!E14-Data!I14)*100)</f>
        <v>19.3286053315569</v>
      </c>
      <c r="J14" s="11" t="n">
        <f aca="false">IF(F14="",MEDIAN(F$6:F$39),F14)</f>
        <v>46.5973985448841</v>
      </c>
      <c r="K14" s="11" t="n">
        <f aca="false">IF(G14="",MEDIAN(G$6:G$39),G14)</f>
        <v>15.424250548802</v>
      </c>
      <c r="L14" s="11" t="n">
        <f aca="false">IF(H14="",MEDIAN(H$6:H$39),H14)</f>
        <v>2.03272330773983</v>
      </c>
      <c r="M14" s="11" t="n">
        <f aca="false">IF(I14="",MEDIAN(I$6:I$39),I14)</f>
        <v>19.3286053315569</v>
      </c>
      <c r="N14" s="11" t="n">
        <f aca="false">IF(Data!L14="",MIN(Inputs!$D$59,MEDIAN(Data!$L$6:$L$39)),MIN(Inputs!$D$59,Data!L14))</f>
        <v>120</v>
      </c>
      <c r="O14" s="11" t="n">
        <f aca="false">IF(Data!M14="",MEDIAN(Data!$M$6:$M$39),Data!M14)</f>
        <v>41.43219902</v>
      </c>
      <c r="P14" s="11" t="n">
        <f aca="false">IF(Data!N14="",MEDIAN(Data!$N$6:$N$39),Data!N14)</f>
        <v>72.9</v>
      </c>
      <c r="Q14" s="11" t="n">
        <f aca="false">IF(Data!K14="",MEDIAN(Data!$K$6:$K$39),Data!K14)</f>
        <v>53.9733113940142</v>
      </c>
      <c r="R14" s="11" t="n">
        <f aca="false">IF(Data!Q14="",MIN(Inputs!$D$61,MEDIAN(Data!$Q$6:$Q$39)),MIN(Inputs!$D$61,Data!Q14))</f>
        <v>4.35126046366445</v>
      </c>
      <c r="S14" s="11" t="n">
        <f aca="false">IF(Data!R14="",MAX(Inputs!$D$63,MIN(Inputs!$D$62,MEDIAN(Data!$R$6:$R$39))),MAX(Inputs!$D$63,MIN(Inputs!$D$62,Data!R14)))</f>
        <v>2.97758321341949</v>
      </c>
      <c r="T14" s="11" t="n">
        <f aca="false">IF(Data!S14="",MEDIAN(Data!$S$6:$S$39),Data!S14)</f>
        <v>6.33980623293106</v>
      </c>
      <c r="U14" s="39" t="n">
        <f aca="false">Pools!E14</f>
        <v>0.927288157859461</v>
      </c>
      <c r="V14" s="40" t="n">
        <f aca="false">Data!W14</f>
        <v>20</v>
      </c>
      <c r="W14" s="40" t="n">
        <f aca="false">Data!X14</f>
        <v>100</v>
      </c>
      <c r="X14" s="11" t="n">
        <f aca="false">IF($C14=1,100*(D14-_xlfn.MINIFS(D$6:D$39,$C$6:$C$39,1))/(_xlfn.MAXIFS(D$6:D$39,$C$6:$C$39,1)-_xlfn.MINIFS(D$6:D$39,$C$6:$C$39,1)),"")</f>
        <v>66.490174406928</v>
      </c>
      <c r="Y14" s="11" t="n">
        <f aca="false">IF($C14=1,100*(E14-_xlfn.MINIFS(E$6:E$39,$C$6:$C$39,1))/(_xlfn.MAXIFS(E$6:E$39,$C$6:$C$39,1)-_xlfn.MINIFS(E$6:E$39,$C$6:$C$39,1)),"")</f>
        <v>25.8661576520968</v>
      </c>
      <c r="Z14" s="11" t="n">
        <f aca="false">IF($C14=1,100*(J14-_xlfn.MINIFS(J$6:J$39,$C$6:$C$39,1))/(_xlfn.MAXIFS(J$6:J$39,$C$6:$C$39,1)-_xlfn.MINIFS(J$6:J$39,$C$6:$C$39,1)),"")</f>
        <v>84.8529464935195</v>
      </c>
      <c r="AA14" s="11" t="n">
        <f aca="false">IF($C14=1,100*(L14-_xlfn.MINIFS(L$6:L$39,$C$6:$C$39,1))/(_xlfn.MAXIFS(L$6:L$39,$C$6:$C$39,1)-_xlfn.MINIFS(L$6:L$39,$C$6:$C$39,1)),"")</f>
        <v>12.3048537578405</v>
      </c>
      <c r="AB14" s="11" t="n">
        <f aca="false">IF($C14=1,100*(K14-_xlfn.MINIFS(K$6:K$39,$C$6:$C$39,1))/(_xlfn.MAXIFS(K$6:K$39,$C$6:$C$39,1)-_xlfn.MINIFS(K$6:K$39,$C$6:$C$39,1)),"")</f>
        <v>55.7715607634976</v>
      </c>
      <c r="AC14" s="15" t="n">
        <f aca="false">IF($C14=1,Inputs!$D$46*X14+Inputs!$D$47*Y14+Inputs!$D$48*Z14+Inputs!$D$49*AA14+Inputs!$D$50*AB14,"")</f>
        <v>51.3841967250728</v>
      </c>
      <c r="AD14" s="11" t="n">
        <f aca="false">IF($C14=1,100*(N14-_xlfn.MINIFS(N$6:N$39,$C$6:$C$39,1))/(_xlfn.MAXIFS(N$6:N$39,$C$6:$C$39,1)-_xlfn.MINIFS(N$6:N$39,$C$6:$C$39,1)),"")</f>
        <v>100</v>
      </c>
      <c r="AE14" s="11" t="n">
        <f aca="false">IF($C14=1,100*(O14-_xlfn.MINIFS(O$6:O$39,$C$6:$C$39,1))/(_xlfn.MAXIFS(O$6:O$39,$C$6:$C$39,1)-_xlfn.MINIFS(O$6:O$39,$C$6:$C$39,1)),"")</f>
        <v>46.7993276483642</v>
      </c>
      <c r="AF14" s="11" t="n">
        <f aca="false">IF($C14=1,100*(P14-_xlfn.MINIFS(P$6:P$39,$C$6:$C$39,1))/(_xlfn.MAXIFS(P$6:P$39,$C$6:$C$39,1)-_xlfn.MINIFS(P$6:P$39,$C$6:$C$39,1)),"")</f>
        <v>75.7961783439491</v>
      </c>
      <c r="AG14" s="11" t="n">
        <f aca="false">IF($C14=1,100*(Q14-_xlfn.MINIFS(Q$6:Q$39,$C$6:$C$39,1))/(_xlfn.MAXIFS(Q$6:Q$39,$C$6:$C$39,1)-_xlfn.MINIFS(Q$6:Q$39,$C$6:$C$39,1)),"")</f>
        <v>78.7350875484053</v>
      </c>
      <c r="AH14" s="11" t="n">
        <f aca="false">IF($C14=1,AVERAGE(AD14:AG14),"")</f>
        <v>75.3326483851796</v>
      </c>
      <c r="AI14" s="11" t="n">
        <f aca="false">IF($C14=1,100*(_xlfn.MAXIFS(R$6:R$39,$C$6:$C$39,1)-R14)/(_xlfn.MAXIFS(R$6:R$39,$C$6:$C$39,1)-_xlfn.MINIFS(R$6:R$39,$C$6:$C$39,1)),"")</f>
        <v>93.1996523070778</v>
      </c>
      <c r="AJ14" s="11" t="n">
        <f aca="false">IF($C14=1,100*(_xlfn.MAXIFS(S$6:S$39,$C$6:$C$39,1)-S14)/(_xlfn.MAXIFS(S$6:S$39,$C$6:$C$39,1)-_xlfn.MINIFS(S$6:S$39,$C$6:$C$39,1)),"")</f>
        <v>90.7324673352827</v>
      </c>
      <c r="AK14" s="11" t="n">
        <f aca="false">IF($C14=1,100*(T14-_xlfn.MINIFS(T$6:T$39,$C$6:$C$39,1))/(_xlfn.MAXIFS(T$6:T$39,$C$6:$C$39,1)-_xlfn.MINIFS(T$6:T$39,$C$6:$C$39,1)),"")</f>
        <v>76.0183712623237</v>
      </c>
      <c r="AL14" s="11" t="n">
        <f aca="false">IF($C14=1,AVERAGE(AI14:AK14),"")</f>
        <v>86.6501636348947</v>
      </c>
      <c r="AM14" s="11" t="n">
        <f aca="false">IF($C14=1,100*(U14-_xlfn.MINIFS(U$6:U$39,$C$6:$C$39,1))/(_xlfn.MAXIFS(U$6:U$39,$C$6:$C$39,1)-_xlfn.MINIFS(U$6:U$39,$C$6:$C$39,1)),"")</f>
        <v>95.2907336459383</v>
      </c>
      <c r="AN14" s="11" t="n">
        <f aca="false">IF($C14=1,100*(V14-_xlfn.MINIFS(V$6:V$39,$C$6:$C$39,1))/(_xlfn.MAXIFS(V$6:V$39,$C$6:$C$39,1)-_xlfn.MINIFS(V$6:V$39,$C$6:$C$39,1)),"")</f>
        <v>0</v>
      </c>
      <c r="AO14" s="11" t="n">
        <f aca="false">IF($C14=1,100*(M14-_xlfn.MINIFS(M$6:M$39,$C$6:$C$39,1))/(_xlfn.MAXIFS(M$6:M$39,$C$6:$C$39,1)-_xlfn.MINIFS(M$6:M$39,$C$6:$C$39,1)),"")</f>
        <v>48.5706813077881</v>
      </c>
      <c r="AP14" s="11" t="n">
        <f aca="false">IF($C14=1,W14,"")</f>
        <v>100</v>
      </c>
      <c r="AQ14" s="15" t="n">
        <f aca="false">IF($C14=1,Inputs!$D$52*AH14+Inputs!$D$53*AL14+Inputs!$D$54*AM14+Inputs!$D$55*AN14+Inputs!$D$56*AO14+Inputs!$D$57*AP14,"")</f>
        <v>71.5472405816844</v>
      </c>
      <c r="AR14" s="12" t="n">
        <f aca="false">IF($C14=1,SQRT(AC14*AQ14),"")</f>
        <v>60.6333034328939</v>
      </c>
      <c r="AS14" s="41" t="n">
        <f aca="false">IF($C14=1,COUNTIFS($C$6:$C$39,1,$AR$6:$AR$39,"&gt;"&amp;AR14)+1,"")</f>
        <v>2</v>
      </c>
      <c r="AT14" s="13" t="n">
        <f aca="false">IF($C14=1,Inputs!$D$38+Inputs!$D$39*(1-AL14/100)+Inputs!$D$40*(1-AP14/100),"")</f>
        <v>0.125339934546042</v>
      </c>
      <c r="AU14" s="5" t="str">
        <f aca="false">IF($C14=1,IF(AC14&gt;=MEDIAN(AC$6:AC$39),IF(AQ14&gt;=MEDIAN(AQ$6:AQ$39),"Prioritise","Big but hard"),IF(AQ14&gt;=MEDIAN(AQ$6:AQ$39),"Easy but small","Deprioritise")),"")</f>
        <v>Prioritise</v>
      </c>
    </row>
    <row r="15" customFormat="false" ht="15" hidden="false" customHeight="false" outlineLevel="0" collapsed="false">
      <c r="A15" s="34" t="str">
        <f aca="false">Data!A15</f>
        <v>Eswatini</v>
      </c>
      <c r="B15" s="34" t="str">
        <f aca="false">Data!B15</f>
        <v>SWZ</v>
      </c>
      <c r="C15" s="35" t="n">
        <f aca="false">Data!AB15</f>
        <v>0</v>
      </c>
      <c r="D15" s="32" t="n">
        <f aca="false">LN(MAX(Pools!R15,0.000001))</f>
        <v>0.0884245748515208</v>
      </c>
      <c r="E15" s="36" t="n">
        <f aca="false">Pools!U15</f>
        <v>0.0786598505770502</v>
      </c>
      <c r="F15" s="11" t="n">
        <f aca="false">IF(Data!H15="","",MAX(0,(Inputs!$D$67-Data!H15)*100))</f>
        <v>37.5901251571968</v>
      </c>
      <c r="G15" s="11" t="n">
        <f aca="false">IF(COUNT(Data!T15,Data!U15)=0,"",AVERAGE(Data!T15,Data!U15))</f>
        <v>10.7290023566315</v>
      </c>
      <c r="H15" s="11" t="n">
        <f aca="false">IF(Data!O15="","",MIN(Inputs!$D$60,Data!O15))</f>
        <v>0.686290886514352</v>
      </c>
      <c r="I15" s="11" t="str">
        <f aca="false">IF(Data!I15="","",(Data!E15-Data!I15)*100)</f>
        <v/>
      </c>
      <c r="J15" s="11" t="n">
        <f aca="false">IF(F15="",MEDIAN(F$6:F$39),F15)</f>
        <v>37.5901251571968</v>
      </c>
      <c r="K15" s="11" t="n">
        <f aca="false">IF(G15="",MEDIAN(G$6:G$39),G15)</f>
        <v>10.7290023566315</v>
      </c>
      <c r="L15" s="11" t="n">
        <f aca="false">IF(H15="",MEDIAN(H$6:H$39),H15)</f>
        <v>0.686290886514352</v>
      </c>
      <c r="M15" s="11" t="n">
        <f aca="false">IF(I15="",MEDIAN(I$6:I$39),I15)</f>
        <v>19.3286053315569</v>
      </c>
      <c r="N15" s="11" t="n">
        <f aca="false">IF(Data!L15="",MIN(Inputs!$D$59,MEDIAN(Data!$L$6:$L$39)),MIN(Inputs!$D$59,Data!L15))</f>
        <v>120</v>
      </c>
      <c r="O15" s="11" t="n">
        <f aca="false">IF(Data!M15="",MEDIAN(Data!$M$6:$M$39),Data!M15)</f>
        <v>63.40309906</v>
      </c>
      <c r="P15" s="11" t="n">
        <f aca="false">IF(Data!N15="",MEDIAN(Data!$N$6:$N$39),Data!N15)</f>
        <v>89.3</v>
      </c>
      <c r="Q15" s="11" t="n">
        <f aca="false">IF(Data!K15="",MEDIAN(Data!$K$6:$K$39),Data!K15)</f>
        <v>26.2498461258639</v>
      </c>
      <c r="R15" s="11" t="n">
        <f aca="false">IF(Data!Q15="",MIN(Inputs!$D$61,MEDIAN(Data!$Q$6:$Q$39)),MIN(Inputs!$D$61,Data!Q15))</f>
        <v>6.75675252309681</v>
      </c>
      <c r="S15" s="11" t="n">
        <f aca="false">IF(Data!R15="",MAX(Inputs!$D$63,MIN(Inputs!$D$62,MEDIAN(Data!$R$6:$R$39))),MAX(Inputs!$D$63,MIN(Inputs!$D$62,Data!R15)))</f>
        <v>7.14532599919854</v>
      </c>
      <c r="T15" s="11" t="n">
        <f aca="false">IF(Data!S15="",MEDIAN(Data!$S$6:$S$39),Data!S15)</f>
        <v>2.31675736289466</v>
      </c>
      <c r="U15" s="39" t="n">
        <f aca="false">Pools!E15</f>
        <v>0.7741092338816</v>
      </c>
      <c r="V15" s="40" t="n">
        <f aca="false">Data!W15</f>
        <v>20</v>
      </c>
      <c r="W15" s="40" t="n">
        <f aca="false">Data!X15</f>
        <v>100</v>
      </c>
      <c r="X15" s="11" t="str">
        <f aca="false">IF($C15=1,100*(D15-_xlfn.MINIFS(D$6:D$39,$C$6:$C$39,1))/(_xlfn.MAXIFS(D$6:D$39,$C$6:$C$39,1)-_xlfn.MINIFS(D$6:D$39,$C$6:$C$39,1)),"")</f>
        <v/>
      </c>
      <c r="Y15" s="11" t="str">
        <f aca="false">IF($C15=1,100*(E15-_xlfn.MINIFS(E$6:E$39,$C$6:$C$39,1))/(_xlfn.MAXIFS(E$6:E$39,$C$6:$C$39,1)-_xlfn.MINIFS(E$6:E$39,$C$6:$C$39,1)),"")</f>
        <v/>
      </c>
      <c r="Z15" s="11" t="str">
        <f aca="false">IF($C15=1,100*(J15-_xlfn.MINIFS(J$6:J$39,$C$6:$C$39,1))/(_xlfn.MAXIFS(J$6:J$39,$C$6:$C$39,1)-_xlfn.MINIFS(J$6:J$39,$C$6:$C$39,1)),"")</f>
        <v/>
      </c>
      <c r="AA15" s="11" t="str">
        <f aca="false">IF($C15=1,100*(L15-_xlfn.MINIFS(L$6:L$39,$C$6:$C$39,1))/(_xlfn.MAXIFS(L$6:L$39,$C$6:$C$39,1)-_xlfn.MINIFS(L$6:L$39,$C$6:$C$39,1)),"")</f>
        <v/>
      </c>
      <c r="AB15" s="11" t="str">
        <f aca="false">IF($C15=1,100*(K15-_xlfn.MINIFS(K$6:K$39,$C$6:$C$39,1))/(_xlfn.MAXIFS(K$6:K$39,$C$6:$C$39,1)-_xlfn.MINIFS(K$6:K$39,$C$6:$C$39,1)),"")</f>
        <v/>
      </c>
      <c r="AC15" s="15" t="str">
        <f aca="false">IF($C15=1,Inputs!$D$46*X15+Inputs!$D$47*Y15+Inputs!$D$48*Z15+Inputs!$D$49*AA15+Inputs!$D$50*AB15,"")</f>
        <v/>
      </c>
      <c r="AD15" s="11" t="str">
        <f aca="false">IF($C15=1,100*(N15-_xlfn.MINIFS(N$6:N$39,$C$6:$C$39,1))/(_xlfn.MAXIFS(N$6:N$39,$C$6:$C$39,1)-_xlfn.MINIFS(N$6:N$39,$C$6:$C$39,1)),"")</f>
        <v/>
      </c>
      <c r="AE15" s="11" t="str">
        <f aca="false">IF($C15=1,100*(O15-_xlfn.MINIFS(O$6:O$39,$C$6:$C$39,1))/(_xlfn.MAXIFS(O$6:O$39,$C$6:$C$39,1)-_xlfn.MINIFS(O$6:O$39,$C$6:$C$39,1)),"")</f>
        <v/>
      </c>
      <c r="AF15" s="11" t="str">
        <f aca="false">IF($C15=1,100*(P15-_xlfn.MINIFS(P$6:P$39,$C$6:$C$39,1))/(_xlfn.MAXIFS(P$6:P$39,$C$6:$C$39,1)-_xlfn.MINIFS(P$6:P$39,$C$6:$C$39,1)),"")</f>
        <v/>
      </c>
      <c r="AG15" s="11" t="str">
        <f aca="false">IF($C15=1,100*(Q15-_xlfn.MINIFS(Q$6:Q$39,$C$6:$C$39,1))/(_xlfn.MAXIFS(Q$6:Q$39,$C$6:$C$39,1)-_xlfn.MINIFS(Q$6:Q$39,$C$6:$C$39,1)),"")</f>
        <v/>
      </c>
      <c r="AH15" s="11" t="str">
        <f aca="false">IF($C15=1,AVERAGE(AD15:AG15),"")</f>
        <v/>
      </c>
      <c r="AI15" s="11" t="str">
        <f aca="false">IF($C15=1,100*(_xlfn.MAXIFS(R$6:R$39,$C$6:$C$39,1)-R15)/(_xlfn.MAXIFS(R$6:R$39,$C$6:$C$39,1)-_xlfn.MINIFS(R$6:R$39,$C$6:$C$39,1)),"")</f>
        <v/>
      </c>
      <c r="AJ15" s="11" t="str">
        <f aca="false">IF($C15=1,100*(_xlfn.MAXIFS(S$6:S$39,$C$6:$C$39,1)-S15)/(_xlfn.MAXIFS(S$6:S$39,$C$6:$C$39,1)-_xlfn.MINIFS(S$6:S$39,$C$6:$C$39,1)),"")</f>
        <v/>
      </c>
      <c r="AK15" s="11" t="str">
        <f aca="false">IF($C15=1,100*(T15-_xlfn.MINIFS(T$6:T$39,$C$6:$C$39,1))/(_xlfn.MAXIFS(T$6:T$39,$C$6:$C$39,1)-_xlfn.MINIFS(T$6:T$39,$C$6:$C$39,1)),"")</f>
        <v/>
      </c>
      <c r="AL15" s="11" t="str">
        <f aca="false">IF($C15=1,AVERAGE(AI15:AK15),"")</f>
        <v/>
      </c>
      <c r="AM15" s="11" t="str">
        <f aca="false">IF($C15=1,100*(U15-_xlfn.MINIFS(U$6:U$39,$C$6:$C$39,1))/(_xlfn.MAXIFS(U$6:U$39,$C$6:$C$39,1)-_xlfn.MINIFS(U$6:U$39,$C$6:$C$39,1)),"")</f>
        <v/>
      </c>
      <c r="AN15" s="11" t="str">
        <f aca="false">IF($C15=1,100*(V15-_xlfn.MINIFS(V$6:V$39,$C$6:$C$39,1))/(_xlfn.MAXIFS(V$6:V$39,$C$6:$C$39,1)-_xlfn.MINIFS(V$6:V$39,$C$6:$C$39,1)),"")</f>
        <v/>
      </c>
      <c r="AO15" s="11" t="str">
        <f aca="false">IF($C15=1,100*(M15-_xlfn.MINIFS(M$6:M$39,$C$6:$C$39,1))/(_xlfn.MAXIFS(M$6:M$39,$C$6:$C$39,1)-_xlfn.MINIFS(M$6:M$39,$C$6:$C$39,1)),"")</f>
        <v/>
      </c>
      <c r="AP15" s="11" t="str">
        <f aca="false">IF($C15=1,W15,"")</f>
        <v/>
      </c>
      <c r="AQ15" s="15" t="str">
        <f aca="false">IF($C15=1,Inputs!$D$52*AH15+Inputs!$D$53*AL15+Inputs!$D$54*AM15+Inputs!$D$55*AN15+Inputs!$D$56*AO15+Inputs!$D$57*AP15,"")</f>
        <v/>
      </c>
      <c r="AR15" s="12" t="str">
        <f aca="false">IF($C15=1,SQRT(AC15*AQ15),"")</f>
        <v/>
      </c>
      <c r="AS15" s="41" t="str">
        <f aca="false">IF($C15=1,COUNTIFS($C$6:$C$39,1,$AR$6:$AR$39,"&gt;"&amp;AR15)+1,"")</f>
        <v/>
      </c>
      <c r="AT15" s="13" t="str">
        <f aca="false">IF($C15=1,Inputs!$D$38+Inputs!$D$39*(1-AL15/100)+Inputs!$D$40*(1-AP15/100),"")</f>
        <v/>
      </c>
      <c r="AU15" s="5" t="str">
        <f aca="false">IF($C15=1,IF(AC15&gt;=MEDIAN(AC$6:AC$39),IF(AQ15&gt;=MEDIAN(AQ$6:AQ$39),"Prioritise","Big but hard"),IF(AQ15&gt;=MEDIAN(AQ$6:AQ$39),"Easy but small","Deprioritise")),"")</f>
        <v/>
      </c>
    </row>
    <row r="16" customFormat="false" ht="15" hidden="false" customHeight="false" outlineLevel="0" collapsed="false">
      <c r="A16" s="34" t="str">
        <f aca="false">Data!A16</f>
        <v>Ethiopia</v>
      </c>
      <c r="B16" s="34" t="str">
        <f aca="false">Data!B16</f>
        <v>ETH</v>
      </c>
      <c r="C16" s="35" t="n">
        <f aca="false">Data!AB16</f>
        <v>1</v>
      </c>
      <c r="D16" s="32" t="n">
        <f aca="false">LN(MAX(Pools!R16,0.000001))</f>
        <v>2.3554555574312</v>
      </c>
      <c r="E16" s="36" t="n">
        <f aca="false">Pools!U16</f>
        <v>0.192916836146786</v>
      </c>
      <c r="F16" s="11" t="n">
        <f aca="false">IF(Data!H16="","",MAX(0,(Inputs!$D$67-Data!H16)*100))</f>
        <v>49.8461446921297</v>
      </c>
      <c r="G16" s="11" t="str">
        <f aca="false">IF(COUNT(Data!T16,Data!U16)=0,"",AVERAGE(Data!T16,Data!U16))</f>
        <v/>
      </c>
      <c r="H16" s="11" t="n">
        <f aca="false">IF(Data!O16="","",MIN(Inputs!$D$60,Data!O16))</f>
        <v>4.766710838993</v>
      </c>
      <c r="I16" s="11" t="n">
        <f aca="false">IF(Data!I16="","",(Data!E16-Data!I16)*100)</f>
        <v>9.13896073217586</v>
      </c>
      <c r="J16" s="11" t="n">
        <f aca="false">IF(F16="",MEDIAN(F$6:F$39),F16)</f>
        <v>49.8461446921297</v>
      </c>
      <c r="K16" s="11" t="n">
        <f aca="false">IF(G16="",MEDIAN(G$6:G$39),G16)</f>
        <v>13.2837245668976</v>
      </c>
      <c r="L16" s="11" t="n">
        <f aca="false">IF(H16="",MEDIAN(H$6:H$39),H16)</f>
        <v>4.766710838993</v>
      </c>
      <c r="M16" s="11" t="n">
        <f aca="false">IF(I16="",MEDIAN(I$6:I$39),I16)</f>
        <v>9.13896073217586</v>
      </c>
      <c r="N16" s="11" t="n">
        <f aca="false">IF(Data!L16="",MIN(Inputs!$D$59,MEDIAN(Data!$L$6:$L$39)),MIN(Inputs!$D$59,Data!L16))</f>
        <v>65.0825091944922</v>
      </c>
      <c r="O16" s="11" t="n">
        <f aca="false">IF(Data!M16="",MEDIAN(Data!$M$6:$M$39),Data!M16)</f>
        <v>21.94129944</v>
      </c>
      <c r="P16" s="11" t="n">
        <f aca="false">IF(Data!N16="",MEDIAN(Data!$N$6:$N$39),Data!N16)</f>
        <v>56.6</v>
      </c>
      <c r="Q16" s="11" t="n">
        <f aca="false">IF(Data!K16="",MEDIAN(Data!$K$6:$K$39),Data!K16)</f>
        <v>23.6222839355469</v>
      </c>
      <c r="R16" s="11" t="n">
        <f aca="false">IF(Data!Q16="",MIN(Inputs!$D$61,MEDIAN(Data!$Q$6:$Q$39)),MIN(Inputs!$D$61,Data!Q16))</f>
        <v>28.3821511937962</v>
      </c>
      <c r="S16" s="11" t="n">
        <f aca="false">IF(Data!R16="",MAX(Inputs!$D$63,MIN(Inputs!$D$62,MEDIAN(Data!$R$6:$R$39))),MAX(Inputs!$D$63,MIN(Inputs!$D$62,Data!R16)))</f>
        <v>21.1968365403222</v>
      </c>
      <c r="T16" s="11" t="n">
        <f aca="false">IF(Data!S16="",MEDIAN(Data!$S$6:$S$39),Data!S16)</f>
        <v>6.50959345052229</v>
      </c>
      <c r="U16" s="39" t="n">
        <f aca="false">Pools!E16</f>
        <v>0.193627606866022</v>
      </c>
      <c r="V16" s="40" t="n">
        <f aca="false">Data!W16</f>
        <v>60</v>
      </c>
      <c r="W16" s="40" t="n">
        <f aca="false">Data!X16</f>
        <v>0</v>
      </c>
      <c r="X16" s="11" t="n">
        <f aca="false">IF($C16=1,100*(D16-_xlfn.MINIFS(D$6:D$39,$C$6:$C$39,1))/(_xlfn.MAXIFS(D$6:D$39,$C$6:$C$39,1)-_xlfn.MINIFS(D$6:D$39,$C$6:$C$39,1)),"")</f>
        <v>43.5566941038551</v>
      </c>
      <c r="Y16" s="11" t="n">
        <f aca="false">IF($C16=1,100*(E16-_xlfn.MINIFS(E$6:E$39,$C$6:$C$39,1))/(_xlfn.MAXIFS(E$6:E$39,$C$6:$C$39,1)-_xlfn.MINIFS(E$6:E$39,$C$6:$C$39,1)),"")</f>
        <v>87.6565704197836</v>
      </c>
      <c r="Z16" s="11" t="n">
        <f aca="false">IF($C16=1,100*(J16-_xlfn.MINIFS(J$6:J$39,$C$6:$C$39,1))/(_xlfn.MAXIFS(J$6:J$39,$C$6:$C$39,1)-_xlfn.MINIFS(J$6:J$39,$C$6:$C$39,1)),"")</f>
        <v>92.1524031621256</v>
      </c>
      <c r="AA16" s="11" t="n">
        <f aca="false">IF($C16=1,100*(L16-_xlfn.MINIFS(L$6:L$39,$C$6:$C$39,1))/(_xlfn.MAXIFS(L$6:L$39,$C$6:$C$39,1)-_xlfn.MINIFS(L$6:L$39,$C$6:$C$39,1)),"")</f>
        <v>30.7942746337436</v>
      </c>
      <c r="AB16" s="11" t="n">
        <f aca="false">IF($C16=1,100*(K16-_xlfn.MINIFS(K$6:K$39,$C$6:$C$39,1))/(_xlfn.MAXIFS(K$6:K$39,$C$6:$C$39,1)-_xlfn.MINIFS(K$6:K$39,$C$6:$C$39,1)),"")</f>
        <v>46.0541642719822</v>
      </c>
      <c r="AC16" s="15" t="n">
        <f aca="false">IF($C16=1,Inputs!$D$46*X16+Inputs!$D$47*Y16+Inputs!$D$48*Z16+Inputs!$D$49*AA16+Inputs!$D$50*AB16,"")</f>
        <v>58.1262833304837</v>
      </c>
      <c r="AD16" s="11" t="n">
        <f aca="false">IF($C16=1,100*(N16-_xlfn.MINIFS(N$6:N$39,$C$6:$C$39,1))/(_xlfn.MAXIFS(N$6:N$39,$C$6:$C$39,1)-_xlfn.MINIFS(N$6:N$39,$C$6:$C$39,1)),"")</f>
        <v>37.5484202060657</v>
      </c>
      <c r="AE16" s="11" t="n">
        <f aca="false">IF($C16=1,100*(O16-_xlfn.MINIFS(O$6:O$39,$C$6:$C$39,1))/(_xlfn.MAXIFS(O$6:O$39,$C$6:$C$39,1)-_xlfn.MINIFS(O$6:O$39,$C$6:$C$39,1)),"")</f>
        <v>18.7176004554103</v>
      </c>
      <c r="AF16" s="11" t="n">
        <f aca="false">IF($C16=1,100*(P16-_xlfn.MINIFS(P$6:P$39,$C$6:$C$39,1))/(_xlfn.MAXIFS(P$6:P$39,$C$6:$C$39,1)-_xlfn.MINIFS(P$6:P$39,$C$6:$C$39,1)),"")</f>
        <v>55.031847133758</v>
      </c>
      <c r="AG16" s="11" t="n">
        <f aca="false">IF($C16=1,100*(Q16-_xlfn.MINIFS(Q$6:Q$39,$C$6:$C$39,1))/(_xlfn.MAXIFS(Q$6:Q$39,$C$6:$C$39,1)-_xlfn.MINIFS(Q$6:Q$39,$C$6:$C$39,1)),"")</f>
        <v>13.6294258307662</v>
      </c>
      <c r="AH16" s="11" t="n">
        <f aca="false">IF($C16=1,AVERAGE(AD16:AG16),"")</f>
        <v>31.2318234065</v>
      </c>
      <c r="AI16" s="11" t="n">
        <f aca="false">IF($C16=1,100*(_xlfn.MAXIFS(R$6:R$39,$C$6:$C$39,1)-R16)/(_xlfn.MAXIFS(R$6:R$39,$C$6:$C$39,1)-_xlfn.MINIFS(R$6:R$39,$C$6:$C$39,1)),"")</f>
        <v>30.3735695392751</v>
      </c>
      <c r="AJ16" s="11" t="n">
        <f aca="false">IF($C16=1,100*(_xlfn.MAXIFS(S$6:S$39,$C$6:$C$39,1)-S16)/(_xlfn.MAXIFS(S$6:S$39,$C$6:$C$39,1)-_xlfn.MINIFS(S$6:S$39,$C$6:$C$39,1)),"")</f>
        <v>46.0817408069262</v>
      </c>
      <c r="AK16" s="11" t="n">
        <f aca="false">IF($C16=1,100*(T16-_xlfn.MINIFS(T$6:T$39,$C$6:$C$39,1))/(_xlfn.MAXIFS(T$6:T$39,$C$6:$C$39,1)-_xlfn.MINIFS(T$6:T$39,$C$6:$C$39,1)),"")</f>
        <v>78.4972454803653</v>
      </c>
      <c r="AL16" s="11" t="n">
        <f aca="false">IF($C16=1,AVERAGE(AI16:AK16),"")</f>
        <v>51.6508519421889</v>
      </c>
      <c r="AM16" s="11" t="n">
        <f aca="false">IF($C16=1,100*(U16-_xlfn.MINIFS(U$6:U$39,$C$6:$C$39,1))/(_xlfn.MAXIFS(U$6:U$39,$C$6:$C$39,1)-_xlfn.MINIFS(U$6:U$39,$C$6:$C$39,1)),"")</f>
        <v>0</v>
      </c>
      <c r="AN16" s="11" t="n">
        <f aca="false">IF($C16=1,100*(V16-_xlfn.MINIFS(V$6:V$39,$C$6:$C$39,1))/(_xlfn.MAXIFS(V$6:V$39,$C$6:$C$39,1)-_xlfn.MINIFS(V$6:V$39,$C$6:$C$39,1)),"")</f>
        <v>50</v>
      </c>
      <c r="AO16" s="11" t="n">
        <f aca="false">IF($C16=1,100*(M16-_xlfn.MINIFS(M$6:M$39,$C$6:$C$39,1))/(_xlfn.MAXIFS(M$6:M$39,$C$6:$C$39,1)-_xlfn.MINIFS(M$6:M$39,$C$6:$C$39,1)),"")</f>
        <v>28.4344660124481</v>
      </c>
      <c r="AP16" s="11" t="n">
        <f aca="false">IF($C16=1,W16,"")</f>
        <v>0</v>
      </c>
      <c r="AQ16" s="15" t="n">
        <f aca="false">IF($C16=1,Inputs!$D$52*AH16+Inputs!$D$53*AL16+Inputs!$D$54*AM16+Inputs!$D$55*AN16+Inputs!$D$56*AO16+Inputs!$D$57*AP16,"")</f>
        <v>26.9199816709826</v>
      </c>
      <c r="AR16" s="12" t="n">
        <f aca="false">IF($C16=1,SQRT(AC16*AQ16),"")</f>
        <v>39.5570282233001</v>
      </c>
      <c r="AS16" s="41" t="n">
        <f aca="false">IF($C16=1,COUNTIFS($C$6:$C$39,1,$AR$6:$AR$39,"&gt;"&amp;AR16)+1,"")</f>
        <v>23</v>
      </c>
      <c r="AT16" s="13" t="n">
        <f aca="false">IF($C16=1,Inputs!$D$38+Inputs!$D$39*(1-AL16/100)+Inputs!$D$40*(1-AP16/100),"")</f>
        <v>0.179339659223124</v>
      </c>
      <c r="AU16" s="5" t="str">
        <f aca="false">IF($C16=1,IF(AC16&gt;=MEDIAN(AC$6:AC$39),IF(AQ16&gt;=MEDIAN(AQ$6:AQ$39),"Prioritise","Big but hard"),IF(AQ16&gt;=MEDIAN(AQ$6:AQ$39),"Easy but small","Deprioritise")),"")</f>
        <v>Big but hard</v>
      </c>
    </row>
    <row r="17" customFormat="false" ht="15" hidden="false" customHeight="false" outlineLevel="0" collapsed="false">
      <c r="A17" s="34" t="str">
        <f aca="false">Data!A17</f>
        <v>Gabon</v>
      </c>
      <c r="B17" s="34" t="str">
        <f aca="false">Data!B17</f>
        <v>GAB</v>
      </c>
      <c r="C17" s="35" t="n">
        <f aca="false">Data!AB17</f>
        <v>0</v>
      </c>
      <c r="D17" s="32" t="n">
        <f aca="false">LN(MAX(Pools!R17,0.000001))</f>
        <v>0.989594485477536</v>
      </c>
      <c r="E17" s="36" t="n">
        <f aca="false">Pools!U17</f>
        <v>0.0722918811740638</v>
      </c>
      <c r="F17" s="11" t="n">
        <f aca="false">IF(Data!H17="","",MAX(0,(Inputs!$D$67-Data!H17)*100))</f>
        <v>35.6844014582584</v>
      </c>
      <c r="G17" s="11" t="n">
        <f aca="false">IF(COUNT(Data!T17,Data!U17)=0,"",AVERAGE(Data!T17,Data!U17))</f>
        <v>11.4740353926474</v>
      </c>
      <c r="H17" s="11" t="str">
        <f aca="false">IF(Data!O17="","",MIN(Inputs!$D$60,Data!O17))</f>
        <v/>
      </c>
      <c r="I17" s="11" t="n">
        <f aca="false">IF(Data!I17="","",(Data!E17-Data!I17)*100)</f>
        <v>18.06356169419</v>
      </c>
      <c r="J17" s="11" t="n">
        <f aca="false">IF(F17="",MEDIAN(F$6:F$39),F17)</f>
        <v>35.6844014582584</v>
      </c>
      <c r="K17" s="11" t="n">
        <f aca="false">IF(G17="",MEDIAN(G$6:G$39),G17)</f>
        <v>11.4740353926474</v>
      </c>
      <c r="L17" s="11" t="n">
        <f aca="false">IF(H17="",MEDIAN(H$6:H$39),H17)</f>
        <v>2.60758279628465</v>
      </c>
      <c r="M17" s="11" t="n">
        <f aca="false">IF(I17="",MEDIAN(I$6:I$39),I17)</f>
        <v>18.06356169419</v>
      </c>
      <c r="N17" s="11" t="n">
        <f aca="false">IF(Data!L17="",MIN(Inputs!$D$59,MEDIAN(Data!$L$6:$L$39)),MIN(Inputs!$D$59,Data!L17))</f>
        <v>120</v>
      </c>
      <c r="O17" s="11" t="n">
        <f aca="false">IF(Data!M17="",MEDIAN(Data!$M$6:$M$39),Data!M17)</f>
        <v>68.72090149</v>
      </c>
      <c r="P17" s="11" t="n">
        <f aca="false">IF(Data!N17="",MEDIAN(Data!$N$6:$N$39),Data!N17)</f>
        <v>95.1</v>
      </c>
      <c r="Q17" s="11" t="n">
        <f aca="false">IF(Data!K17="",MEDIAN(Data!$K$6:$K$39),Data!K17)</f>
        <v>91.8632094677575</v>
      </c>
      <c r="R17" s="11" t="n">
        <f aca="false">IF(Data!Q17="",MIN(Inputs!$D$61,MEDIAN(Data!$Q$6:$Q$39)),MIN(Inputs!$D$61,Data!Q17))</f>
        <v>3.01112776947057</v>
      </c>
      <c r="S17" s="11" t="n">
        <f aca="false">IF(Data!R17="",MAX(Inputs!$D$63,MIN(Inputs!$D$62,MEDIAN(Data!$R$6:$R$39))),MAX(Inputs!$D$63,MIN(Inputs!$D$62,Data!R17)))</f>
        <v>2.97758321341949</v>
      </c>
      <c r="T17" s="11" t="n">
        <f aca="false">IF(Data!S17="",MEDIAN(Data!$S$6:$S$39),Data!S17)</f>
        <v>2.95686338029518</v>
      </c>
      <c r="U17" s="39" t="n">
        <f aca="false">Pools!E17</f>
        <v>0.904083519196162</v>
      </c>
      <c r="V17" s="40" t="n">
        <f aca="false">Data!W17</f>
        <v>20</v>
      </c>
      <c r="W17" s="40" t="n">
        <f aca="false">Data!X17</f>
        <v>100</v>
      </c>
      <c r="X17" s="11" t="str">
        <f aca="false">IF($C17=1,100*(D17-_xlfn.MINIFS(D$6:D$39,$C$6:$C$39,1))/(_xlfn.MAXIFS(D$6:D$39,$C$6:$C$39,1)-_xlfn.MINIFS(D$6:D$39,$C$6:$C$39,1)),"")</f>
        <v/>
      </c>
      <c r="Y17" s="11" t="str">
        <f aca="false">IF($C17=1,100*(E17-_xlfn.MINIFS(E$6:E$39,$C$6:$C$39,1))/(_xlfn.MAXIFS(E$6:E$39,$C$6:$C$39,1)-_xlfn.MINIFS(E$6:E$39,$C$6:$C$39,1)),"")</f>
        <v/>
      </c>
      <c r="Z17" s="11" t="str">
        <f aca="false">IF($C17=1,100*(J17-_xlfn.MINIFS(J$6:J$39,$C$6:$C$39,1))/(_xlfn.MAXIFS(J$6:J$39,$C$6:$C$39,1)-_xlfn.MINIFS(J$6:J$39,$C$6:$C$39,1)),"")</f>
        <v/>
      </c>
      <c r="AA17" s="11" t="str">
        <f aca="false">IF($C17=1,100*(L17-_xlfn.MINIFS(L$6:L$39,$C$6:$C$39,1))/(_xlfn.MAXIFS(L$6:L$39,$C$6:$C$39,1)-_xlfn.MINIFS(L$6:L$39,$C$6:$C$39,1)),"")</f>
        <v/>
      </c>
      <c r="AB17" s="11" t="str">
        <f aca="false">IF($C17=1,100*(K17-_xlfn.MINIFS(K$6:K$39,$C$6:$C$39,1))/(_xlfn.MAXIFS(K$6:K$39,$C$6:$C$39,1)-_xlfn.MINIFS(K$6:K$39,$C$6:$C$39,1)),"")</f>
        <v/>
      </c>
      <c r="AC17" s="15" t="str">
        <f aca="false">IF($C17=1,Inputs!$D$46*X17+Inputs!$D$47*Y17+Inputs!$D$48*Z17+Inputs!$D$49*AA17+Inputs!$D$50*AB17,"")</f>
        <v/>
      </c>
      <c r="AD17" s="11" t="str">
        <f aca="false">IF($C17=1,100*(N17-_xlfn.MINIFS(N$6:N$39,$C$6:$C$39,1))/(_xlfn.MAXIFS(N$6:N$39,$C$6:$C$39,1)-_xlfn.MINIFS(N$6:N$39,$C$6:$C$39,1)),"")</f>
        <v/>
      </c>
      <c r="AE17" s="11" t="str">
        <f aca="false">IF($C17=1,100*(O17-_xlfn.MINIFS(O$6:O$39,$C$6:$C$39,1))/(_xlfn.MAXIFS(O$6:O$39,$C$6:$C$39,1)-_xlfn.MINIFS(O$6:O$39,$C$6:$C$39,1)),"")</f>
        <v/>
      </c>
      <c r="AF17" s="11" t="str">
        <f aca="false">IF($C17=1,100*(P17-_xlfn.MINIFS(P$6:P$39,$C$6:$C$39,1))/(_xlfn.MAXIFS(P$6:P$39,$C$6:$C$39,1)-_xlfn.MINIFS(P$6:P$39,$C$6:$C$39,1)),"")</f>
        <v/>
      </c>
      <c r="AG17" s="11" t="str">
        <f aca="false">IF($C17=1,100*(Q17-_xlfn.MINIFS(Q$6:Q$39,$C$6:$C$39,1))/(_xlfn.MAXIFS(Q$6:Q$39,$C$6:$C$39,1)-_xlfn.MINIFS(Q$6:Q$39,$C$6:$C$39,1)),"")</f>
        <v/>
      </c>
      <c r="AH17" s="11" t="str">
        <f aca="false">IF($C17=1,AVERAGE(AD17:AG17),"")</f>
        <v/>
      </c>
      <c r="AI17" s="11" t="str">
        <f aca="false">IF($C17=1,100*(_xlfn.MAXIFS(R$6:R$39,$C$6:$C$39,1)-R17)/(_xlfn.MAXIFS(R$6:R$39,$C$6:$C$39,1)-_xlfn.MINIFS(R$6:R$39,$C$6:$C$39,1)),"")</f>
        <v/>
      </c>
      <c r="AJ17" s="11" t="str">
        <f aca="false">IF($C17=1,100*(_xlfn.MAXIFS(S$6:S$39,$C$6:$C$39,1)-S17)/(_xlfn.MAXIFS(S$6:S$39,$C$6:$C$39,1)-_xlfn.MINIFS(S$6:S$39,$C$6:$C$39,1)),"")</f>
        <v/>
      </c>
      <c r="AK17" s="11" t="str">
        <f aca="false">IF($C17=1,100*(T17-_xlfn.MINIFS(T$6:T$39,$C$6:$C$39,1))/(_xlfn.MAXIFS(T$6:T$39,$C$6:$C$39,1)-_xlfn.MINIFS(T$6:T$39,$C$6:$C$39,1)),"")</f>
        <v/>
      </c>
      <c r="AL17" s="11" t="str">
        <f aca="false">IF($C17=1,AVERAGE(AI17:AK17),"")</f>
        <v/>
      </c>
      <c r="AM17" s="11" t="str">
        <f aca="false">IF($C17=1,100*(U17-_xlfn.MINIFS(U$6:U$39,$C$6:$C$39,1))/(_xlfn.MAXIFS(U$6:U$39,$C$6:$C$39,1)-_xlfn.MINIFS(U$6:U$39,$C$6:$C$39,1)),"")</f>
        <v/>
      </c>
      <c r="AN17" s="11" t="str">
        <f aca="false">IF($C17=1,100*(V17-_xlfn.MINIFS(V$6:V$39,$C$6:$C$39,1))/(_xlfn.MAXIFS(V$6:V$39,$C$6:$C$39,1)-_xlfn.MINIFS(V$6:V$39,$C$6:$C$39,1)),"")</f>
        <v/>
      </c>
      <c r="AO17" s="11" t="str">
        <f aca="false">IF($C17=1,100*(M17-_xlfn.MINIFS(M$6:M$39,$C$6:$C$39,1))/(_xlfn.MAXIFS(M$6:M$39,$C$6:$C$39,1)-_xlfn.MINIFS(M$6:M$39,$C$6:$C$39,1)),"")</f>
        <v/>
      </c>
      <c r="AP17" s="11" t="str">
        <f aca="false">IF($C17=1,W17,"")</f>
        <v/>
      </c>
      <c r="AQ17" s="15" t="str">
        <f aca="false">IF($C17=1,Inputs!$D$52*AH17+Inputs!$D$53*AL17+Inputs!$D$54*AM17+Inputs!$D$55*AN17+Inputs!$D$56*AO17+Inputs!$D$57*AP17,"")</f>
        <v/>
      </c>
      <c r="AR17" s="12" t="str">
        <f aca="false">IF($C17=1,SQRT(AC17*AQ17),"")</f>
        <v/>
      </c>
      <c r="AS17" s="41" t="str">
        <f aca="false">IF($C17=1,COUNTIFS($C$6:$C$39,1,$AR$6:$AR$39,"&gt;"&amp;AR17)+1,"")</f>
        <v/>
      </c>
      <c r="AT17" s="13" t="str">
        <f aca="false">IF($C17=1,Inputs!$D$38+Inputs!$D$39*(1-AL17/100)+Inputs!$D$40*(1-AP17/100),"")</f>
        <v/>
      </c>
      <c r="AU17" s="5" t="str">
        <f aca="false">IF($C17=1,IF(AC17&gt;=MEDIAN(AC$6:AC$39),IF(AQ17&gt;=MEDIAN(AQ$6:AQ$39),"Prioritise","Big but hard"),IF(AQ17&gt;=MEDIAN(AQ$6:AQ$39),"Easy but small","Deprioritise")),"")</f>
        <v/>
      </c>
    </row>
    <row r="18" customFormat="false" ht="15" hidden="false" customHeight="false" outlineLevel="0" collapsed="false">
      <c r="A18" s="34" t="str">
        <f aca="false">Data!A18</f>
        <v>Gambia, The</v>
      </c>
      <c r="B18" s="34" t="str">
        <f aca="false">Data!B18</f>
        <v>GMB</v>
      </c>
      <c r="C18" s="35" t="n">
        <f aca="false">Data!AB18</f>
        <v>0</v>
      </c>
      <c r="D18" s="32" t="n">
        <f aca="false">LN(MAX(Pools!R18,0.000001))</f>
        <v>-0.328583807363388</v>
      </c>
      <c r="E18" s="36" t="n">
        <f aca="false">Pools!U18</f>
        <v>0.160846607626893</v>
      </c>
      <c r="F18" s="11" t="n">
        <f aca="false">IF(Data!H18="","",MAX(0,(Inputs!$D$67-Data!H18)*100))</f>
        <v>52.5757519334743</v>
      </c>
      <c r="G18" s="11" t="n">
        <f aca="false">IF(COUNT(Data!T18,Data!U18)=0,"",AVERAGE(Data!T18,Data!U18))</f>
        <v>3.1853589103735</v>
      </c>
      <c r="H18" s="11" t="n">
        <f aca="false">IF(Data!O18="","",MIN(Inputs!$D$60,Data!O18))</f>
        <v>15</v>
      </c>
      <c r="I18" s="11" t="str">
        <f aca="false">IF(Data!I18="","",(Data!E18-Data!I18)*100)</f>
        <v/>
      </c>
      <c r="J18" s="11" t="n">
        <f aca="false">IF(F18="",MEDIAN(F$6:F$39),F18)</f>
        <v>52.5757519334743</v>
      </c>
      <c r="K18" s="11" t="n">
        <f aca="false">IF(G18="",MEDIAN(G$6:G$39),G18)</f>
        <v>3.1853589103735</v>
      </c>
      <c r="L18" s="11" t="n">
        <f aca="false">IF(H18="",MEDIAN(H$6:H$39),H18)</f>
        <v>15</v>
      </c>
      <c r="M18" s="11" t="n">
        <f aca="false">IF(I18="",MEDIAN(I$6:I$39),I18)</f>
        <v>19.3286053315569</v>
      </c>
      <c r="N18" s="11" t="n">
        <f aca="false">IF(Data!L18="",MIN(Inputs!$D$59,MEDIAN(Data!$L$6:$L$39)),MIN(Inputs!$D$59,Data!L18))</f>
        <v>120</v>
      </c>
      <c r="O18" s="11" t="n">
        <f aca="false">IF(Data!M18="",MEDIAN(Data!$M$6:$M$39),Data!M18)</f>
        <v>49.49430084</v>
      </c>
      <c r="P18" s="11" t="n">
        <f aca="false">IF(Data!N18="",MEDIAN(Data!$N$6:$N$39),Data!N18)</f>
        <v>69</v>
      </c>
      <c r="Q18" s="11" t="n">
        <f aca="false">IF(Data!K18="",MEDIAN(Data!$K$6:$K$39),Data!K18)</f>
        <v>64.2994103409645</v>
      </c>
      <c r="R18" s="11" t="n">
        <f aca="false">IF(Data!Q18="",MIN(Inputs!$D$61,MEDIAN(Data!$Q$6:$Q$39)),MIN(Inputs!$D$61,Data!Q18))</f>
        <v>13.3494620303447</v>
      </c>
      <c r="S18" s="11" t="n">
        <f aca="false">IF(Data!R18="",MAX(Inputs!$D$63,MIN(Inputs!$D$62,MEDIAN(Data!$R$6:$R$39))),MAX(Inputs!$D$63,MIN(Inputs!$D$62,Data!R18)))</f>
        <v>9.10779209850417</v>
      </c>
      <c r="T18" s="11" t="n">
        <f aca="false">IF(Data!S18="",MEDIAN(Data!$S$6:$S$39),Data!S18)</f>
        <v>5.65368488455464</v>
      </c>
      <c r="U18" s="39" t="n">
        <f aca="false">Pools!E18</f>
        <v>0.500212041109419</v>
      </c>
      <c r="V18" s="40" t="n">
        <f aca="false">Data!W18</f>
        <v>20</v>
      </c>
      <c r="W18" s="40" t="n">
        <f aca="false">Data!X18</f>
        <v>100</v>
      </c>
      <c r="X18" s="11" t="str">
        <f aca="false">IF($C18=1,100*(D18-_xlfn.MINIFS(D$6:D$39,$C$6:$C$39,1))/(_xlfn.MAXIFS(D$6:D$39,$C$6:$C$39,1)-_xlfn.MINIFS(D$6:D$39,$C$6:$C$39,1)),"")</f>
        <v/>
      </c>
      <c r="Y18" s="11" t="str">
        <f aca="false">IF($C18=1,100*(E18-_xlfn.MINIFS(E$6:E$39,$C$6:$C$39,1))/(_xlfn.MAXIFS(E$6:E$39,$C$6:$C$39,1)-_xlfn.MINIFS(E$6:E$39,$C$6:$C$39,1)),"")</f>
        <v/>
      </c>
      <c r="Z18" s="11" t="str">
        <f aca="false">IF($C18=1,100*(J18-_xlfn.MINIFS(J$6:J$39,$C$6:$C$39,1))/(_xlfn.MAXIFS(J$6:J$39,$C$6:$C$39,1)-_xlfn.MINIFS(J$6:J$39,$C$6:$C$39,1)),"")</f>
        <v/>
      </c>
      <c r="AA18" s="11" t="str">
        <f aca="false">IF($C18=1,100*(L18-_xlfn.MINIFS(L$6:L$39,$C$6:$C$39,1))/(_xlfn.MAXIFS(L$6:L$39,$C$6:$C$39,1)-_xlfn.MINIFS(L$6:L$39,$C$6:$C$39,1)),"")</f>
        <v/>
      </c>
      <c r="AB18" s="11" t="str">
        <f aca="false">IF($C18=1,100*(K18-_xlfn.MINIFS(K$6:K$39,$C$6:$C$39,1))/(_xlfn.MAXIFS(K$6:K$39,$C$6:$C$39,1)-_xlfn.MINIFS(K$6:K$39,$C$6:$C$39,1)),"")</f>
        <v/>
      </c>
      <c r="AC18" s="15" t="str">
        <f aca="false">IF($C18=1,Inputs!$D$46*X18+Inputs!$D$47*Y18+Inputs!$D$48*Z18+Inputs!$D$49*AA18+Inputs!$D$50*AB18,"")</f>
        <v/>
      </c>
      <c r="AD18" s="11" t="str">
        <f aca="false">IF($C18=1,100*(N18-_xlfn.MINIFS(N$6:N$39,$C$6:$C$39,1))/(_xlfn.MAXIFS(N$6:N$39,$C$6:$C$39,1)-_xlfn.MINIFS(N$6:N$39,$C$6:$C$39,1)),"")</f>
        <v/>
      </c>
      <c r="AE18" s="11" t="str">
        <f aca="false">IF($C18=1,100*(O18-_xlfn.MINIFS(O$6:O$39,$C$6:$C$39,1))/(_xlfn.MAXIFS(O$6:O$39,$C$6:$C$39,1)-_xlfn.MINIFS(O$6:O$39,$C$6:$C$39,1)),"")</f>
        <v/>
      </c>
      <c r="AF18" s="11" t="str">
        <f aca="false">IF($C18=1,100*(P18-_xlfn.MINIFS(P$6:P$39,$C$6:$C$39,1))/(_xlfn.MAXIFS(P$6:P$39,$C$6:$C$39,1)-_xlfn.MINIFS(P$6:P$39,$C$6:$C$39,1)),"")</f>
        <v/>
      </c>
      <c r="AG18" s="11" t="str">
        <f aca="false">IF($C18=1,100*(Q18-_xlfn.MINIFS(Q$6:Q$39,$C$6:$C$39,1))/(_xlfn.MAXIFS(Q$6:Q$39,$C$6:$C$39,1)-_xlfn.MINIFS(Q$6:Q$39,$C$6:$C$39,1)),"")</f>
        <v/>
      </c>
      <c r="AH18" s="11" t="str">
        <f aca="false">IF($C18=1,AVERAGE(AD18:AG18),"")</f>
        <v/>
      </c>
      <c r="AI18" s="11" t="str">
        <f aca="false">IF($C18=1,100*(_xlfn.MAXIFS(R$6:R$39,$C$6:$C$39,1)-R18)/(_xlfn.MAXIFS(R$6:R$39,$C$6:$C$39,1)-_xlfn.MINIFS(R$6:R$39,$C$6:$C$39,1)),"")</f>
        <v/>
      </c>
      <c r="AJ18" s="11" t="str">
        <f aca="false">IF($C18=1,100*(_xlfn.MAXIFS(S$6:S$39,$C$6:$C$39,1)-S18)/(_xlfn.MAXIFS(S$6:S$39,$C$6:$C$39,1)-_xlfn.MINIFS(S$6:S$39,$C$6:$C$39,1)),"")</f>
        <v/>
      </c>
      <c r="AK18" s="11" t="str">
        <f aca="false">IF($C18=1,100*(T18-_xlfn.MINIFS(T$6:T$39,$C$6:$C$39,1))/(_xlfn.MAXIFS(T$6:T$39,$C$6:$C$39,1)-_xlfn.MINIFS(T$6:T$39,$C$6:$C$39,1)),"")</f>
        <v/>
      </c>
      <c r="AL18" s="11" t="str">
        <f aca="false">IF($C18=1,AVERAGE(AI18:AK18),"")</f>
        <v/>
      </c>
      <c r="AM18" s="11" t="str">
        <f aca="false">IF($C18=1,100*(U18-_xlfn.MINIFS(U$6:U$39,$C$6:$C$39,1))/(_xlfn.MAXIFS(U$6:U$39,$C$6:$C$39,1)-_xlfn.MINIFS(U$6:U$39,$C$6:$C$39,1)),"")</f>
        <v/>
      </c>
      <c r="AN18" s="11" t="str">
        <f aca="false">IF($C18=1,100*(V18-_xlfn.MINIFS(V$6:V$39,$C$6:$C$39,1))/(_xlfn.MAXIFS(V$6:V$39,$C$6:$C$39,1)-_xlfn.MINIFS(V$6:V$39,$C$6:$C$39,1)),"")</f>
        <v/>
      </c>
      <c r="AO18" s="11" t="str">
        <f aca="false">IF($C18=1,100*(M18-_xlfn.MINIFS(M$6:M$39,$C$6:$C$39,1))/(_xlfn.MAXIFS(M$6:M$39,$C$6:$C$39,1)-_xlfn.MINIFS(M$6:M$39,$C$6:$C$39,1)),"")</f>
        <v/>
      </c>
      <c r="AP18" s="11" t="str">
        <f aca="false">IF($C18=1,W18,"")</f>
        <v/>
      </c>
      <c r="AQ18" s="15" t="str">
        <f aca="false">IF($C18=1,Inputs!$D$52*AH18+Inputs!$D$53*AL18+Inputs!$D$54*AM18+Inputs!$D$55*AN18+Inputs!$D$56*AO18+Inputs!$D$57*AP18,"")</f>
        <v/>
      </c>
      <c r="AR18" s="12" t="str">
        <f aca="false">IF($C18=1,SQRT(AC18*AQ18),"")</f>
        <v/>
      </c>
      <c r="AS18" s="41" t="str">
        <f aca="false">IF($C18=1,COUNTIFS($C$6:$C$39,1,$AR$6:$AR$39,"&gt;"&amp;AR18)+1,"")</f>
        <v/>
      </c>
      <c r="AT18" s="13" t="str">
        <f aca="false">IF($C18=1,Inputs!$D$38+Inputs!$D$39*(1-AL18/100)+Inputs!$D$40*(1-AP18/100),"")</f>
        <v/>
      </c>
      <c r="AU18" s="5" t="str">
        <f aca="false">IF($C18=1,IF(AC18&gt;=MEDIAN(AC$6:AC$39),IF(AQ18&gt;=MEDIAN(AQ$6:AQ$39),"Prioritise","Big but hard"),IF(AQ18&gt;=MEDIAN(AQ$6:AQ$39),"Easy but small","Deprioritise")),"")</f>
        <v/>
      </c>
    </row>
    <row r="19" customFormat="false" ht="15" hidden="false" customHeight="false" outlineLevel="0" collapsed="false">
      <c r="A19" s="34" t="str">
        <f aca="false">Data!A19</f>
        <v>Ghana</v>
      </c>
      <c r="B19" s="34" t="str">
        <f aca="false">Data!B19</f>
        <v>GHA</v>
      </c>
      <c r="C19" s="35" t="n">
        <f aca="false">Data!AB19</f>
        <v>1</v>
      </c>
      <c r="D19" s="32" t="n">
        <f aca="false">LN(MAX(Pools!R19,0.000001))</f>
        <v>3.31541040112761</v>
      </c>
      <c r="E19" s="36" t="n">
        <f aca="false">Pools!U19</f>
        <v>0.0452642945478594</v>
      </c>
      <c r="F19" s="11" t="n">
        <f aca="false">IF(Data!H19="","",MAX(0,(Inputs!$D$67-Data!H19)*100))</f>
        <v>28.4909900788289</v>
      </c>
      <c r="G19" s="11" t="n">
        <f aca="false">IF(COUNT(Data!T19,Data!U19)=0,"",AVERAGE(Data!T19,Data!U19))</f>
        <v>11.7670785488142</v>
      </c>
      <c r="H19" s="11" t="n">
        <f aca="false">IF(Data!O19="","",MIN(Inputs!$D$60,Data!O19))</f>
        <v>3.63485196347604</v>
      </c>
      <c r="I19" s="11" t="n">
        <f aca="false">IF(Data!I19="","",(Data!E19-Data!I19)*100)</f>
        <v>39.333581677647</v>
      </c>
      <c r="J19" s="11" t="n">
        <f aca="false">IF(F19="",MEDIAN(F$6:F$39),F19)</f>
        <v>28.4909900788289</v>
      </c>
      <c r="K19" s="11" t="n">
        <f aca="false">IF(G19="",MEDIAN(G$6:G$39),G19)</f>
        <v>11.7670785488142</v>
      </c>
      <c r="L19" s="11" t="n">
        <f aca="false">IF(H19="",MEDIAN(H$6:H$39),H19)</f>
        <v>3.63485196347604</v>
      </c>
      <c r="M19" s="11" t="n">
        <f aca="false">IF(I19="",MEDIAN(I$6:I$39),I19)</f>
        <v>39.333581677647</v>
      </c>
      <c r="N19" s="11" t="n">
        <f aca="false">IF(Data!L19="",MIN(Inputs!$D$59,MEDIAN(Data!$L$6:$L$39)),MIN(Inputs!$D$59,Data!L19))</f>
        <v>113.647966704673</v>
      </c>
      <c r="O19" s="11" t="n">
        <f aca="false">IF(Data!M19="",MEDIAN(Data!$M$6:$M$39),Data!M19)</f>
        <v>72.17569733</v>
      </c>
      <c r="P19" s="11" t="n">
        <f aca="false">IF(Data!N19="",MEDIAN(Data!$N$6:$N$39),Data!N19)</f>
        <v>91.9</v>
      </c>
      <c r="Q19" s="11" t="n">
        <f aca="false">IF(Data!K19="",MEDIAN(Data!$K$6:$K$39),Data!K19)</f>
        <v>58.3654868038581</v>
      </c>
      <c r="R19" s="11" t="n">
        <f aca="false">IF(Data!Q19="",MIN(Inputs!$D$61,MEDIAN(Data!$Q$6:$Q$39)),MIN(Inputs!$D$61,Data!Q19))</f>
        <v>30.737062950112</v>
      </c>
      <c r="S19" s="11" t="n">
        <f aca="false">IF(Data!R19="",MAX(Inputs!$D$63,MIN(Inputs!$D$62,MEDIAN(Data!$R$6:$R$39))),MAX(Inputs!$D$63,MIN(Inputs!$D$62,Data!R19)))</f>
        <v>29.7709749365416</v>
      </c>
      <c r="T19" s="11" t="n">
        <f aca="false">IF(Data!S19="",MEDIAN(Data!$S$6:$S$39),Data!S19)</f>
        <v>4.26413644179537</v>
      </c>
      <c r="U19" s="39" t="n">
        <f aca="false">Pools!E19</f>
        <v>0.963545649180004</v>
      </c>
      <c r="V19" s="40" t="n">
        <f aca="false">Data!W19</f>
        <v>20</v>
      </c>
      <c r="W19" s="40" t="n">
        <f aca="false">Data!X19</f>
        <v>100</v>
      </c>
      <c r="X19" s="11" t="n">
        <f aca="false">IF($C19=1,100*(D19-_xlfn.MINIFS(D$6:D$39,$C$6:$C$39,1))/(_xlfn.MAXIFS(D$6:D$39,$C$6:$C$39,1)-_xlfn.MINIFS(D$6:D$39,$C$6:$C$39,1)),"")</f>
        <v>66.6882772361233</v>
      </c>
      <c r="Y19" s="11" t="n">
        <f aca="false">IF($C19=1,100*(E19-_xlfn.MINIFS(E$6:E$39,$C$6:$C$39,1))/(_xlfn.MAXIFS(E$6:E$39,$C$6:$C$39,1)-_xlfn.MINIFS(E$6:E$39,$C$6:$C$39,1)),"")</f>
        <v>0</v>
      </c>
      <c r="Z19" s="11" t="n">
        <f aca="false">IF($C19=1,100*(J19-_xlfn.MINIFS(J$6:J$39,$C$6:$C$39,1))/(_xlfn.MAXIFS(J$6:J$39,$C$6:$C$39,1)-_xlfn.MINIFS(J$6:J$39,$C$6:$C$39,1)),"")</f>
        <v>44.1704991640759</v>
      </c>
      <c r="AA19" s="11" t="n">
        <f aca="false">IF($C19=1,100*(L19-_xlfn.MINIFS(L$6:L$39,$C$6:$C$39,1))/(_xlfn.MAXIFS(L$6:L$39,$C$6:$C$39,1)-_xlfn.MINIFS(L$6:L$39,$C$6:$C$39,1)),"")</f>
        <v>23.13973529063</v>
      </c>
      <c r="AB19" s="11" t="n">
        <f aca="false">IF($C19=1,100*(K19-_xlfn.MINIFS(K$6:K$39,$C$6:$C$39,1))/(_xlfn.MAXIFS(K$6:K$39,$C$6:$C$39,1)-_xlfn.MINIFS(K$6:K$39,$C$6:$C$39,1)),"")</f>
        <v>39.1690104268125</v>
      </c>
      <c r="AC19" s="15" t="n">
        <f aca="false">IF($C19=1,Inputs!$D$46*X19+Inputs!$D$47*Y19+Inputs!$D$48*Z19+Inputs!$D$49*AA19+Inputs!$D$50*AB19,"")</f>
        <v>39.3127837648709</v>
      </c>
      <c r="AD19" s="11" t="n">
        <f aca="false">IF($C19=1,100*(N19-_xlfn.MINIFS(N$6:N$39,$C$6:$C$39,1))/(_xlfn.MAXIFS(N$6:N$39,$C$6:$C$39,1)-_xlfn.MINIFS(N$6:N$39,$C$6:$C$39,1)),"")</f>
        <v>92.7765360656817</v>
      </c>
      <c r="AE19" s="11" t="n">
        <f aca="false">IF($C19=1,100*(O19-_xlfn.MINIFS(O$6:O$39,$C$6:$C$39,1))/(_xlfn.MAXIFS(O$6:O$39,$C$6:$C$39,1)-_xlfn.MINIFS(O$6:O$39,$C$6:$C$39,1)),"")</f>
        <v>91.0933597916697</v>
      </c>
      <c r="AF19" s="11" t="n">
        <f aca="false">IF($C19=1,100*(P19-_xlfn.MINIFS(P$6:P$39,$C$6:$C$39,1))/(_xlfn.MAXIFS(P$6:P$39,$C$6:$C$39,1)-_xlfn.MINIFS(P$6:P$39,$C$6:$C$39,1)),"")</f>
        <v>100</v>
      </c>
      <c r="AG19" s="11" t="n">
        <f aca="false">IF($C19=1,100*(Q19-_xlfn.MINIFS(Q$6:Q$39,$C$6:$C$39,1))/(_xlfn.MAXIFS(Q$6:Q$39,$C$6:$C$39,1)-_xlfn.MINIFS(Q$6:Q$39,$C$6:$C$39,1)),"")</f>
        <v>88.1566956580198</v>
      </c>
      <c r="AH19" s="11" t="n">
        <f aca="false">IF($C19=1,AVERAGE(AD19:AG19),"")</f>
        <v>93.0066478788428</v>
      </c>
      <c r="AI19" s="11" t="n">
        <f aca="false">IF($C19=1,100*(_xlfn.MAXIFS(R$6:R$39,$C$6:$C$39,1)-R19)/(_xlfn.MAXIFS(R$6:R$39,$C$6:$C$39,1)-_xlfn.MINIFS(R$6:R$39,$C$6:$C$39,1)),"")</f>
        <v>24.2169154820181</v>
      </c>
      <c r="AJ19" s="11" t="n">
        <f aca="false">IF($C19=1,100*(_xlfn.MAXIFS(S$6:S$39,$C$6:$C$39,1)-S19)/(_xlfn.MAXIFS(S$6:S$39,$C$6:$C$39,1)-_xlfn.MINIFS(S$6:S$39,$C$6:$C$39,1)),"")</f>
        <v>25.068722222868</v>
      </c>
      <c r="AK19" s="11" t="n">
        <f aca="false">IF($C19=1,100*(T19-_xlfn.MINIFS(T$6:T$39,$C$6:$C$39,1))/(_xlfn.MAXIFS(T$6:T$39,$C$6:$C$39,1)-_xlfn.MINIFS(T$6:T$39,$C$6:$C$39,1)),"")</f>
        <v>45.7138265303296</v>
      </c>
      <c r="AL19" s="11" t="n">
        <f aca="false">IF($C19=1,AVERAGE(AI19:AK19),"")</f>
        <v>31.6664880784052</v>
      </c>
      <c r="AM19" s="11" t="n">
        <f aca="false">IF($C19=1,100*(U19-_xlfn.MINIFS(U$6:U$39,$C$6:$C$39,1))/(_xlfn.MAXIFS(U$6:U$39,$C$6:$C$39,1)-_xlfn.MINIFS(U$6:U$39,$C$6:$C$39,1)),"")</f>
        <v>100</v>
      </c>
      <c r="AN19" s="11" t="n">
        <f aca="false">IF($C19=1,100*(V19-_xlfn.MINIFS(V$6:V$39,$C$6:$C$39,1))/(_xlfn.MAXIFS(V$6:V$39,$C$6:$C$39,1)-_xlfn.MINIFS(V$6:V$39,$C$6:$C$39,1)),"")</f>
        <v>0</v>
      </c>
      <c r="AO19" s="11" t="n">
        <f aca="false">IF($C19=1,100*(M19-_xlfn.MINIFS(M$6:M$39,$C$6:$C$39,1))/(_xlfn.MAXIFS(M$6:M$39,$C$6:$C$39,1)-_xlfn.MINIFS(M$6:M$39,$C$6:$C$39,1)),"")</f>
        <v>88.1034154237085</v>
      </c>
      <c r="AP19" s="11" t="n">
        <f aca="false">IF($C19=1,W19,"")</f>
        <v>100</v>
      </c>
      <c r="AQ19" s="15" t="n">
        <f aca="false">IF($C19=1,Inputs!$D$52*AH19+Inputs!$D$53*AL19+Inputs!$D$54*AM19+Inputs!$D$55*AN19+Inputs!$D$56*AO19+Inputs!$D$57*AP19,"")</f>
        <v>68.7449687338205</v>
      </c>
      <c r="AR19" s="12" t="n">
        <f aca="false">IF($C19=1,SQRT(AC19*AQ19),"")</f>
        <v>51.986114403324</v>
      </c>
      <c r="AS19" s="41" t="n">
        <f aca="false">IF($C19=1,COUNTIFS($C$6:$C$39,1,$AR$6:$AR$39,"&gt;"&amp;AR19)+1,"")</f>
        <v>11</v>
      </c>
      <c r="AT19" s="13" t="n">
        <f aca="false">IF($C19=1,Inputs!$D$38+Inputs!$D$39*(1-AL19/100)+Inputs!$D$40*(1-AP19/100),"")</f>
        <v>0.147333404768638</v>
      </c>
      <c r="AU19" s="5" t="str">
        <f aca="false">IF($C19=1,IF(AC19&gt;=MEDIAN(AC$6:AC$39),IF(AQ19&gt;=MEDIAN(AQ$6:AQ$39),"Prioritise","Big but hard"),IF(AQ19&gt;=MEDIAN(AQ$6:AQ$39),"Easy but small","Deprioritise")),"")</f>
        <v>Easy but small</v>
      </c>
    </row>
    <row r="20" customFormat="false" ht="15" hidden="false" customHeight="false" outlineLevel="0" collapsed="false">
      <c r="A20" s="34" t="str">
        <f aca="false">Data!A20</f>
        <v>Guinea</v>
      </c>
      <c r="B20" s="34" t="str">
        <f aca="false">Data!B20</f>
        <v>GIN</v>
      </c>
      <c r="C20" s="35" t="n">
        <f aca="false">Data!AB20</f>
        <v>1</v>
      </c>
      <c r="D20" s="32" t="n">
        <f aca="false">LN(MAX(Pools!R20,0.000001))</f>
        <v>1.95277161067427</v>
      </c>
      <c r="E20" s="36" t="n">
        <f aca="false">Pools!U20</f>
        <v>0.144800710250709</v>
      </c>
      <c r="F20" s="11" t="n">
        <f aca="false">IF(Data!H20="","",MAX(0,(Inputs!$D$67-Data!H20)*100))</f>
        <v>47.3516697021093</v>
      </c>
      <c r="G20" s="11" t="n">
        <f aca="false">IF(COUNT(Data!T20,Data!U20)=0,"",AVERAGE(Data!T20,Data!U20))</f>
        <v>12.9826356218822</v>
      </c>
      <c r="H20" s="11" t="n">
        <f aca="false">IF(Data!O20="","",MIN(Inputs!$D$60,Data!O20))</f>
        <v>2.46482438123289</v>
      </c>
      <c r="I20" s="11" t="n">
        <f aca="false">IF(Data!I20="","",(Data!E20-Data!I20)*100)</f>
        <v>12.0414707794777</v>
      </c>
      <c r="J20" s="11" t="n">
        <f aca="false">IF(F20="",MEDIAN(F$6:F$39),F20)</f>
        <v>47.3516697021093</v>
      </c>
      <c r="K20" s="11" t="n">
        <f aca="false">IF(G20="",MEDIAN(G$6:G$39),G20)</f>
        <v>12.9826356218822</v>
      </c>
      <c r="L20" s="11" t="n">
        <f aca="false">IF(H20="",MEDIAN(H$6:H$39),H20)</f>
        <v>2.46482438123289</v>
      </c>
      <c r="M20" s="11" t="n">
        <f aca="false">IF(I20="",MEDIAN(I$6:I$39),I20)</f>
        <v>12.0414707794777</v>
      </c>
      <c r="N20" s="11" t="n">
        <f aca="false">IF(Data!L20="",MIN(Inputs!$D$59,MEDIAN(Data!$L$6:$L$39)),MIN(Inputs!$D$59,Data!L20))</f>
        <v>97.8794996455513</v>
      </c>
      <c r="O20" s="11" t="n">
        <f aca="false">IF(Data!M20="",MEDIAN(Data!$M$6:$M$39),Data!M20)</f>
        <v>33.30469894</v>
      </c>
      <c r="P20" s="11" t="n">
        <f aca="false">IF(Data!N20="",MEDIAN(Data!$N$6:$N$39),Data!N20)</f>
        <v>53.8</v>
      </c>
      <c r="Q20" s="11" t="n">
        <f aca="false">IF(Data!K20="",MEDIAN(Data!$K$6:$K$39),Data!K20)</f>
        <v>38.0713036688655</v>
      </c>
      <c r="R20" s="11" t="n">
        <f aca="false">IF(Data!Q20="",MIN(Inputs!$D$61,MEDIAN(Data!$Q$6:$Q$39)),MIN(Inputs!$D$61,Data!Q20))</f>
        <v>8.8070520224027</v>
      </c>
      <c r="S20" s="11" t="n">
        <f aca="false">IF(Data!R20="",MAX(Inputs!$D$63,MIN(Inputs!$D$62,MEDIAN(Data!$R$6:$R$39))),MAX(Inputs!$D$63,MIN(Inputs!$D$62,Data!R20)))</f>
        <v>4.69881523335391</v>
      </c>
      <c r="T20" s="11" t="n">
        <f aca="false">IF(Data!S20="",MEDIAN(Data!$S$6:$S$39),Data!S20)</f>
        <v>4.95472703959229</v>
      </c>
      <c r="U20" s="39" t="n">
        <f aca="false">Pools!E20</f>
        <v>0.716320505724371</v>
      </c>
      <c r="V20" s="40" t="n">
        <f aca="false">Data!W20</f>
        <v>20</v>
      </c>
      <c r="W20" s="40" t="n">
        <f aca="false">Data!X20</f>
        <v>100</v>
      </c>
      <c r="X20" s="11" t="n">
        <f aca="false">IF($C20=1,100*(D20-_xlfn.MINIFS(D$6:D$39,$C$6:$C$39,1))/(_xlfn.MAXIFS(D$6:D$39,$C$6:$C$39,1)-_xlfn.MINIFS(D$6:D$39,$C$6:$C$39,1)),"")</f>
        <v>33.853407275726</v>
      </c>
      <c r="Y20" s="11" t="n">
        <f aca="false">IF($C20=1,100*(E20-_xlfn.MINIFS(E$6:E$39,$C$6:$C$39,1))/(_xlfn.MAXIFS(E$6:E$39,$C$6:$C$39,1)-_xlfn.MINIFS(E$6:E$39,$C$6:$C$39,1)),"")</f>
        <v>59.0915722676132</v>
      </c>
      <c r="Z20" s="11" t="n">
        <f aca="false">IF($C20=1,100*(J20-_xlfn.MINIFS(J$6:J$39,$C$6:$C$39,1))/(_xlfn.MAXIFS(J$6:J$39,$C$6:$C$39,1)-_xlfn.MINIFS(J$6:J$39,$C$6:$C$39,1)),"")</f>
        <v>86.54768328704</v>
      </c>
      <c r="AA20" s="11" t="n">
        <f aca="false">IF($C20=1,100*(L20-_xlfn.MINIFS(L$6:L$39,$C$6:$C$39,1))/(_xlfn.MAXIFS(L$6:L$39,$C$6:$C$39,1)-_xlfn.MINIFS(L$6:L$39,$C$6:$C$39,1)),"")</f>
        <v>15.2270684780666</v>
      </c>
      <c r="AB20" s="11" t="n">
        <f aca="false">IF($C20=1,100*(K20-_xlfn.MINIFS(K$6:K$39,$C$6:$C$39,1))/(_xlfn.MAXIFS(K$6:K$39,$C$6:$C$39,1)-_xlfn.MINIFS(K$6:K$39,$C$6:$C$39,1)),"")</f>
        <v>44.6873036579738</v>
      </c>
      <c r="AC20" s="15" t="n">
        <f aca="false">IF($C20=1,Inputs!$D$46*X20+Inputs!$D$47*Y20+Inputs!$D$48*Z20+Inputs!$D$49*AA20+Inputs!$D$50*AB20,"")</f>
        <v>45.6363153134888</v>
      </c>
      <c r="AD20" s="11" t="n">
        <f aca="false">IF($C20=1,100*(N20-_xlfn.MINIFS(N$6:N$39,$C$6:$C$39,1))/(_xlfn.MAXIFS(N$6:N$39,$C$6:$C$39,1)-_xlfn.MINIFS(N$6:N$39,$C$6:$C$39,1)),"")</f>
        <v>74.8448049482068</v>
      </c>
      <c r="AE20" s="11" t="n">
        <f aca="false">IF($C20=1,100*(O20-_xlfn.MINIFS(O$6:O$39,$C$6:$C$39,1))/(_xlfn.MAXIFS(O$6:O$39,$C$6:$C$39,1)-_xlfn.MINIFS(O$6:O$39,$C$6:$C$39,1)),"")</f>
        <v>35.0895428295318</v>
      </c>
      <c r="AF20" s="11" t="n">
        <f aca="false">IF($C20=1,100*(P20-_xlfn.MINIFS(P$6:P$39,$C$6:$C$39,1))/(_xlfn.MAXIFS(P$6:P$39,$C$6:$C$39,1)-_xlfn.MINIFS(P$6:P$39,$C$6:$C$39,1)),"")</f>
        <v>51.4649681528662</v>
      </c>
      <c r="AG20" s="11" t="n">
        <f aca="false">IF($C20=1,100*(Q20-_xlfn.MINIFS(Q$6:Q$39,$C$6:$C$39,1))/(_xlfn.MAXIFS(Q$6:Q$39,$C$6:$C$39,1)-_xlfn.MINIFS(Q$6:Q$39,$C$6:$C$39,1)),"")</f>
        <v>44.6238622529339</v>
      </c>
      <c r="AH20" s="11" t="n">
        <f aca="false">IF($C20=1,AVERAGE(AD20:AG20),"")</f>
        <v>51.5057945458847</v>
      </c>
      <c r="AI20" s="11" t="n">
        <f aca="false">IF($C20=1,100*(_xlfn.MAXIFS(R$6:R$39,$C$6:$C$39,1)-R20)/(_xlfn.MAXIFS(R$6:R$39,$C$6:$C$39,1)-_xlfn.MINIFS(R$6:R$39,$C$6:$C$39,1)),"")</f>
        <v>81.5504823945221</v>
      </c>
      <c r="AJ20" s="11" t="n">
        <f aca="false">IF($C20=1,100*(_xlfn.MAXIFS(S$6:S$39,$C$6:$C$39,1)-S20)/(_xlfn.MAXIFS(S$6:S$39,$C$6:$C$39,1)-_xlfn.MINIFS(S$6:S$39,$C$6:$C$39,1)),"")</f>
        <v>86.5141682186851</v>
      </c>
      <c r="AK20" s="11" t="n">
        <f aca="false">IF($C20=1,100*(T20-_xlfn.MINIFS(T$6:T$39,$C$6:$C$39,1))/(_xlfn.MAXIFS(T$6:T$39,$C$6:$C$39,1)-_xlfn.MINIFS(T$6:T$39,$C$6:$C$39,1)),"")</f>
        <v>55.7963713319191</v>
      </c>
      <c r="AL20" s="11" t="n">
        <f aca="false">IF($C20=1,AVERAGE(AI20:AK20),"")</f>
        <v>74.6203406483754</v>
      </c>
      <c r="AM20" s="11" t="n">
        <f aca="false">IF($C20=1,100*(U20-_xlfn.MINIFS(U$6:U$39,$C$6:$C$39,1))/(_xlfn.MAXIFS(U$6:U$39,$C$6:$C$39,1)-_xlfn.MINIFS(U$6:U$39,$C$6:$C$39,1)),"")</f>
        <v>67.889420708651</v>
      </c>
      <c r="AN20" s="11" t="n">
        <f aca="false">IF($C20=1,100*(V20-_xlfn.MINIFS(V$6:V$39,$C$6:$C$39,1))/(_xlfn.MAXIFS(V$6:V$39,$C$6:$C$39,1)-_xlfn.MINIFS(V$6:V$39,$C$6:$C$39,1)),"")</f>
        <v>0</v>
      </c>
      <c r="AO20" s="11" t="n">
        <f aca="false">IF($C20=1,100*(M20-_xlfn.MINIFS(M$6:M$39,$C$6:$C$39,1))/(_xlfn.MAXIFS(M$6:M$39,$C$6:$C$39,1)-_xlfn.MINIFS(M$6:M$39,$C$6:$C$39,1)),"")</f>
        <v>34.1702467493845</v>
      </c>
      <c r="AP20" s="11" t="n">
        <f aca="false">IF($C20=1,W20,"")</f>
        <v>100</v>
      </c>
      <c r="AQ20" s="15" t="n">
        <f aca="false">IF($C20=1,Inputs!$D$52*AH20+Inputs!$D$53*AL20+Inputs!$D$54*AM20+Inputs!$D$55*AN20+Inputs!$D$56*AO20+Inputs!$D$57*AP20,"")</f>
        <v>58.8256648200881</v>
      </c>
      <c r="AR20" s="12" t="n">
        <f aca="false">IF($C20=1,SQRT(AC20*AQ20),"")</f>
        <v>51.8129963257786</v>
      </c>
      <c r="AS20" s="41" t="n">
        <f aca="false">IF($C20=1,COUNTIFS($C$6:$C$39,1,$AR$6:$AR$39,"&gt;"&amp;AR20)+1,"")</f>
        <v>12</v>
      </c>
      <c r="AT20" s="13" t="n">
        <f aca="false">IF($C20=1,Inputs!$D$38+Inputs!$D$39*(1-AL20/100)+Inputs!$D$40*(1-AP20/100),"")</f>
        <v>0.13015186374065</v>
      </c>
      <c r="AU20" s="5" t="str">
        <f aca="false">IF($C20=1,IF(AC20&gt;=MEDIAN(AC$6:AC$39),IF(AQ20&gt;=MEDIAN(AQ$6:AQ$39),"Prioritise","Big but hard"),IF(AQ20&gt;=MEDIAN(AQ$6:AQ$39),"Easy but small","Deprioritise")),"")</f>
        <v>Prioritise</v>
      </c>
    </row>
    <row r="21" customFormat="false" ht="15" hidden="false" customHeight="false" outlineLevel="0" collapsed="false">
      <c r="A21" s="34" t="str">
        <f aca="false">Data!A21</f>
        <v>Kenya</v>
      </c>
      <c r="B21" s="34" t="str">
        <f aca="false">Data!B21</f>
        <v>KEN</v>
      </c>
      <c r="C21" s="35" t="n">
        <f aca="false">Data!AB21</f>
        <v>0</v>
      </c>
      <c r="D21" s="32" t="n">
        <f aca="false">LN(MAX(Pools!R21,0.000001))</f>
        <v>3.46828550340779</v>
      </c>
      <c r="E21" s="36" t="n">
        <f aca="false">Pools!U21</f>
        <v>0.0281339220071291</v>
      </c>
      <c r="F21" s="11" t="n">
        <f aca="false">IF(Data!H21="","",MAX(0,(Inputs!$D$67-Data!H21)*100))</f>
        <v>0</v>
      </c>
      <c r="G21" s="11" t="n">
        <f aca="false">IF(COUNT(Data!T21,Data!U21)=0,"",AVERAGE(Data!T21,Data!U21))</f>
        <v>10.0271895116491</v>
      </c>
      <c r="H21" s="11" t="n">
        <f aca="false">IF(Data!O21="","",MIN(Inputs!$D$60,Data!O21))</f>
        <v>4.15276804487157</v>
      </c>
      <c r="I21" s="11" t="n">
        <f aca="false">IF(Data!I21="","",(Data!E21-Data!I21)*100)</f>
        <v>14.5677305513136</v>
      </c>
      <c r="J21" s="11" t="n">
        <f aca="false">IF(F21="",MEDIAN(F$6:F$39),F21)</f>
        <v>0</v>
      </c>
      <c r="K21" s="11" t="n">
        <f aca="false">IF(G21="",MEDIAN(G$6:G$39),G21)</f>
        <v>10.0271895116491</v>
      </c>
      <c r="L21" s="11" t="n">
        <f aca="false">IF(H21="",MEDIAN(H$6:H$39),H21)</f>
        <v>4.15276804487157</v>
      </c>
      <c r="M21" s="11" t="n">
        <f aca="false">IF(I21="",MEDIAN(I$6:I$39),I21)</f>
        <v>14.5677305513136</v>
      </c>
      <c r="N21" s="11" t="n">
        <f aca="false">IF(Data!L21="",MIN(Inputs!$D$59,MEDIAN(Data!$L$6:$L$39)),MIN(Inputs!$D$59,Data!L21))</f>
        <v>120</v>
      </c>
      <c r="O21" s="11" t="n">
        <f aca="false">IF(Data!M21="",MEDIAN(Data!$M$6:$M$39),Data!M21)</f>
        <v>34.97622513</v>
      </c>
      <c r="P21" s="11" t="n">
        <f aca="false">IF(Data!N21="",MEDIAN(Data!$N$6:$N$39),Data!N21)</f>
        <v>77</v>
      </c>
      <c r="Q21" s="11" t="n">
        <f aca="false">IF(Data!K21="",MEDIAN(Data!$K$6:$K$39),Data!K21)</f>
        <v>31.8937831721599</v>
      </c>
      <c r="R21" s="11" t="n">
        <f aca="false">IF(Data!Q21="",MIN(Inputs!$D$61,MEDIAN(Data!$Q$6:$Q$39)),MIN(Inputs!$D$61,Data!Q21))</f>
        <v>6.60701585515024</v>
      </c>
      <c r="S21" s="11" t="n">
        <f aca="false">IF(Data!R21="",MAX(Inputs!$D$63,MIN(Inputs!$D$62,MEDIAN(Data!$R$6:$R$39))),MAX(Inputs!$D$63,MIN(Inputs!$D$62,Data!R21)))</f>
        <v>6.89257520135242</v>
      </c>
      <c r="T21" s="11" t="n">
        <f aca="false">IF(Data!S21="",MEDIAN(Data!$S$6:$S$39),Data!S21)</f>
        <v>5.08005646691366</v>
      </c>
      <c r="U21" s="39" t="n">
        <f aca="false">Pools!E21</f>
        <v>0.970922009529004</v>
      </c>
      <c r="V21" s="40" t="n">
        <f aca="false">Data!W21</f>
        <v>20</v>
      </c>
      <c r="W21" s="40" t="n">
        <f aca="false">Data!X21</f>
        <v>100</v>
      </c>
      <c r="X21" s="11" t="str">
        <f aca="false">IF($C21=1,100*(D21-_xlfn.MINIFS(D$6:D$39,$C$6:$C$39,1))/(_xlfn.MAXIFS(D$6:D$39,$C$6:$C$39,1)-_xlfn.MINIFS(D$6:D$39,$C$6:$C$39,1)),"")</f>
        <v/>
      </c>
      <c r="Y21" s="11" t="str">
        <f aca="false">IF($C21=1,100*(E21-_xlfn.MINIFS(E$6:E$39,$C$6:$C$39,1))/(_xlfn.MAXIFS(E$6:E$39,$C$6:$C$39,1)-_xlfn.MINIFS(E$6:E$39,$C$6:$C$39,1)),"")</f>
        <v/>
      </c>
      <c r="Z21" s="11" t="str">
        <f aca="false">IF($C21=1,100*(J21-_xlfn.MINIFS(J$6:J$39,$C$6:$C$39,1))/(_xlfn.MAXIFS(J$6:J$39,$C$6:$C$39,1)-_xlfn.MINIFS(J$6:J$39,$C$6:$C$39,1)),"")</f>
        <v/>
      </c>
      <c r="AA21" s="11" t="str">
        <f aca="false">IF($C21=1,100*(L21-_xlfn.MINIFS(L$6:L$39,$C$6:$C$39,1))/(_xlfn.MAXIFS(L$6:L$39,$C$6:$C$39,1)-_xlfn.MINIFS(L$6:L$39,$C$6:$C$39,1)),"")</f>
        <v/>
      </c>
      <c r="AB21" s="11" t="str">
        <f aca="false">IF($C21=1,100*(K21-_xlfn.MINIFS(K$6:K$39,$C$6:$C$39,1))/(_xlfn.MAXIFS(K$6:K$39,$C$6:$C$39,1)-_xlfn.MINIFS(K$6:K$39,$C$6:$C$39,1)),"")</f>
        <v/>
      </c>
      <c r="AC21" s="15" t="str">
        <f aca="false">IF($C21=1,Inputs!$D$46*X21+Inputs!$D$47*Y21+Inputs!$D$48*Z21+Inputs!$D$49*AA21+Inputs!$D$50*AB21,"")</f>
        <v/>
      </c>
      <c r="AD21" s="11" t="str">
        <f aca="false">IF($C21=1,100*(N21-_xlfn.MINIFS(N$6:N$39,$C$6:$C$39,1))/(_xlfn.MAXIFS(N$6:N$39,$C$6:$C$39,1)-_xlfn.MINIFS(N$6:N$39,$C$6:$C$39,1)),"")</f>
        <v/>
      </c>
      <c r="AE21" s="11" t="str">
        <f aca="false">IF($C21=1,100*(O21-_xlfn.MINIFS(O$6:O$39,$C$6:$C$39,1))/(_xlfn.MAXIFS(O$6:O$39,$C$6:$C$39,1)-_xlfn.MINIFS(O$6:O$39,$C$6:$C$39,1)),"")</f>
        <v/>
      </c>
      <c r="AF21" s="11" t="str">
        <f aca="false">IF($C21=1,100*(P21-_xlfn.MINIFS(P$6:P$39,$C$6:$C$39,1))/(_xlfn.MAXIFS(P$6:P$39,$C$6:$C$39,1)-_xlfn.MINIFS(P$6:P$39,$C$6:$C$39,1)),"")</f>
        <v/>
      </c>
      <c r="AG21" s="11" t="str">
        <f aca="false">IF($C21=1,100*(Q21-_xlfn.MINIFS(Q$6:Q$39,$C$6:$C$39,1))/(_xlfn.MAXIFS(Q$6:Q$39,$C$6:$C$39,1)-_xlfn.MINIFS(Q$6:Q$39,$C$6:$C$39,1)),"")</f>
        <v/>
      </c>
      <c r="AH21" s="11" t="str">
        <f aca="false">IF($C21=1,AVERAGE(AD21:AG21),"")</f>
        <v/>
      </c>
      <c r="AI21" s="11" t="str">
        <f aca="false">IF($C21=1,100*(_xlfn.MAXIFS(R$6:R$39,$C$6:$C$39,1)-R21)/(_xlfn.MAXIFS(R$6:R$39,$C$6:$C$39,1)-_xlfn.MINIFS(R$6:R$39,$C$6:$C$39,1)),"")</f>
        <v/>
      </c>
      <c r="AJ21" s="11" t="str">
        <f aca="false">IF($C21=1,100*(_xlfn.MAXIFS(S$6:S$39,$C$6:$C$39,1)-S21)/(_xlfn.MAXIFS(S$6:S$39,$C$6:$C$39,1)-_xlfn.MINIFS(S$6:S$39,$C$6:$C$39,1)),"")</f>
        <v/>
      </c>
      <c r="AK21" s="11" t="str">
        <f aca="false">IF($C21=1,100*(T21-_xlfn.MINIFS(T$6:T$39,$C$6:$C$39,1))/(_xlfn.MAXIFS(T$6:T$39,$C$6:$C$39,1)-_xlfn.MINIFS(T$6:T$39,$C$6:$C$39,1)),"")</f>
        <v/>
      </c>
      <c r="AL21" s="11" t="str">
        <f aca="false">IF($C21=1,AVERAGE(AI21:AK21),"")</f>
        <v/>
      </c>
      <c r="AM21" s="11" t="str">
        <f aca="false">IF($C21=1,100*(U21-_xlfn.MINIFS(U$6:U$39,$C$6:$C$39,1))/(_xlfn.MAXIFS(U$6:U$39,$C$6:$C$39,1)-_xlfn.MINIFS(U$6:U$39,$C$6:$C$39,1)),"")</f>
        <v/>
      </c>
      <c r="AN21" s="11" t="str">
        <f aca="false">IF($C21=1,100*(V21-_xlfn.MINIFS(V$6:V$39,$C$6:$C$39,1))/(_xlfn.MAXIFS(V$6:V$39,$C$6:$C$39,1)-_xlfn.MINIFS(V$6:V$39,$C$6:$C$39,1)),"")</f>
        <v/>
      </c>
      <c r="AO21" s="11" t="str">
        <f aca="false">IF($C21=1,100*(M21-_xlfn.MINIFS(M$6:M$39,$C$6:$C$39,1))/(_xlfn.MAXIFS(M$6:M$39,$C$6:$C$39,1)-_xlfn.MINIFS(M$6:M$39,$C$6:$C$39,1)),"")</f>
        <v/>
      </c>
      <c r="AP21" s="11" t="str">
        <f aca="false">IF($C21=1,W21,"")</f>
        <v/>
      </c>
      <c r="AQ21" s="15" t="str">
        <f aca="false">IF($C21=1,Inputs!$D$52*AH21+Inputs!$D$53*AL21+Inputs!$D$54*AM21+Inputs!$D$55*AN21+Inputs!$D$56*AO21+Inputs!$D$57*AP21,"")</f>
        <v/>
      </c>
      <c r="AR21" s="12" t="str">
        <f aca="false">IF($C21=1,SQRT(AC21*AQ21),"")</f>
        <v/>
      </c>
      <c r="AS21" s="41" t="str">
        <f aca="false">IF($C21=1,COUNTIFS($C$6:$C$39,1,$AR$6:$AR$39,"&gt;"&amp;AR21)+1,"")</f>
        <v/>
      </c>
      <c r="AT21" s="13" t="str">
        <f aca="false">IF($C21=1,Inputs!$D$38+Inputs!$D$39*(1-AL21/100)+Inputs!$D$40*(1-AP21/100),"")</f>
        <v/>
      </c>
      <c r="AU21" s="5" t="str">
        <f aca="false">IF($C21=1,IF(AC21&gt;=MEDIAN(AC$6:AC$39),IF(AQ21&gt;=MEDIAN(AQ$6:AQ$39),"Prioritise","Big but hard"),IF(AQ21&gt;=MEDIAN(AQ$6:AQ$39),"Easy but small","Deprioritise")),"")</f>
        <v/>
      </c>
    </row>
    <row r="22" customFormat="false" ht="15" hidden="false" customHeight="false" outlineLevel="0" collapsed="false">
      <c r="A22" s="34" t="str">
        <f aca="false">Data!A22</f>
        <v>Lesotho</v>
      </c>
      <c r="B22" s="34" t="str">
        <f aca="false">Data!B22</f>
        <v>LSO</v>
      </c>
      <c r="C22" s="35" t="n">
        <f aca="false">Data!AB22</f>
        <v>0</v>
      </c>
      <c r="D22" s="32" t="n">
        <f aca="false">LN(MAX(Pools!R22,0.000001))</f>
        <v>0.34405525478059</v>
      </c>
      <c r="E22" s="36" t="n">
        <f aca="false">Pools!U22</f>
        <v>0.0746517686193233</v>
      </c>
      <c r="F22" s="11" t="n">
        <f aca="false">IF(Data!H22="","",MAX(0,(Inputs!$D$67-Data!H22)*100))</f>
        <v>40.0524243415838</v>
      </c>
      <c r="G22" s="11" t="n">
        <f aca="false">IF(COUNT(Data!T22,Data!U22)=0,"",AVERAGE(Data!T22,Data!U22))</f>
        <v>0.158521050045102</v>
      </c>
      <c r="H22" s="11" t="n">
        <f aca="false">IF(Data!O22="","",MIN(Inputs!$D$60,Data!O22))</f>
        <v>15</v>
      </c>
      <c r="I22" s="11" t="n">
        <f aca="false">IF(Data!I22="","",(Data!E22-Data!I22)*100)</f>
        <v>25.8309762477365</v>
      </c>
      <c r="J22" s="11" t="n">
        <f aca="false">IF(F22="",MEDIAN(F$6:F$39),F22)</f>
        <v>40.0524243415838</v>
      </c>
      <c r="K22" s="11" t="n">
        <f aca="false">IF(G22="",MEDIAN(G$6:G$39),G22)</f>
        <v>0.158521050045102</v>
      </c>
      <c r="L22" s="11" t="n">
        <f aca="false">IF(H22="",MEDIAN(H$6:H$39),H22)</f>
        <v>15</v>
      </c>
      <c r="M22" s="11" t="n">
        <f aca="false">IF(I22="",MEDIAN(I$6:I$39),I22)</f>
        <v>25.8309762477365</v>
      </c>
      <c r="N22" s="11" t="n">
        <f aca="false">IF(Data!L22="",MIN(Inputs!$D$59,MEDIAN(Data!$L$6:$L$39)),MIN(Inputs!$D$59,Data!L22))</f>
        <v>70.328049309004</v>
      </c>
      <c r="O22" s="11" t="n">
        <f aca="false">IF(Data!M22="",MEDIAN(Data!$M$6:$M$39),Data!M22)</f>
        <v>51.79660034</v>
      </c>
      <c r="P22" s="11" t="n">
        <f aca="false">IF(Data!N22="",MEDIAN(Data!$N$6:$N$39),Data!N22)</f>
        <v>60.6</v>
      </c>
      <c r="Q22" s="11" t="n">
        <f aca="false">IF(Data!K22="",MEDIAN(Data!$K$6:$K$39),Data!K22)</f>
        <v>43.6780334209246</v>
      </c>
      <c r="R22" s="11" t="n">
        <f aca="false">IF(Data!Q22="",MIN(Inputs!$D$61,MEDIAN(Data!$Q$6:$Q$39)),MIN(Inputs!$D$61,Data!Q22))</f>
        <v>6.90648919104337</v>
      </c>
      <c r="S22" s="11" t="n">
        <f aca="false">IF(Data!R22="",MAX(Inputs!$D$63,MIN(Inputs!$D$62,MEDIAN(Data!$R$6:$R$39))),MAX(Inputs!$D$63,MIN(Inputs!$D$62,Data!R22)))</f>
        <v>7.17601135124597</v>
      </c>
      <c r="T22" s="11" t="n">
        <f aca="false">IF(Data!S22="",MEDIAN(Data!$S$6:$S$39),Data!S22)</f>
        <v>3.10238192710386</v>
      </c>
      <c r="U22" s="39" t="n">
        <f aca="false">Pools!E22</f>
        <v>0.868473482855439</v>
      </c>
      <c r="V22" s="40" t="n">
        <f aca="false">Data!W22</f>
        <v>20</v>
      </c>
      <c r="W22" s="40" t="n">
        <f aca="false">Data!X22</f>
        <v>100</v>
      </c>
      <c r="X22" s="11" t="str">
        <f aca="false">IF($C22=1,100*(D22-_xlfn.MINIFS(D$6:D$39,$C$6:$C$39,1))/(_xlfn.MAXIFS(D$6:D$39,$C$6:$C$39,1)-_xlfn.MINIFS(D$6:D$39,$C$6:$C$39,1)),"")</f>
        <v/>
      </c>
      <c r="Y22" s="11" t="str">
        <f aca="false">IF($C22=1,100*(E22-_xlfn.MINIFS(E$6:E$39,$C$6:$C$39,1))/(_xlfn.MAXIFS(E$6:E$39,$C$6:$C$39,1)-_xlfn.MINIFS(E$6:E$39,$C$6:$C$39,1)),"")</f>
        <v/>
      </c>
      <c r="Z22" s="11" t="str">
        <f aca="false">IF($C22=1,100*(J22-_xlfn.MINIFS(J$6:J$39,$C$6:$C$39,1))/(_xlfn.MAXIFS(J$6:J$39,$C$6:$C$39,1)-_xlfn.MINIFS(J$6:J$39,$C$6:$C$39,1)),"")</f>
        <v/>
      </c>
      <c r="AA22" s="11" t="str">
        <f aca="false">IF($C22=1,100*(L22-_xlfn.MINIFS(L$6:L$39,$C$6:$C$39,1))/(_xlfn.MAXIFS(L$6:L$39,$C$6:$C$39,1)-_xlfn.MINIFS(L$6:L$39,$C$6:$C$39,1)),"")</f>
        <v/>
      </c>
      <c r="AB22" s="11" t="str">
        <f aca="false">IF($C22=1,100*(K22-_xlfn.MINIFS(K$6:K$39,$C$6:$C$39,1))/(_xlfn.MAXIFS(K$6:K$39,$C$6:$C$39,1)-_xlfn.MINIFS(K$6:K$39,$C$6:$C$39,1)),"")</f>
        <v/>
      </c>
      <c r="AC22" s="15" t="str">
        <f aca="false">IF($C22=1,Inputs!$D$46*X22+Inputs!$D$47*Y22+Inputs!$D$48*Z22+Inputs!$D$49*AA22+Inputs!$D$50*AB22,"")</f>
        <v/>
      </c>
      <c r="AD22" s="11" t="str">
        <f aca="false">IF($C22=1,100*(N22-_xlfn.MINIFS(N$6:N$39,$C$6:$C$39,1))/(_xlfn.MAXIFS(N$6:N$39,$C$6:$C$39,1)-_xlfn.MINIFS(N$6:N$39,$C$6:$C$39,1)),"")</f>
        <v/>
      </c>
      <c r="AE22" s="11" t="str">
        <f aca="false">IF($C22=1,100*(O22-_xlfn.MINIFS(O$6:O$39,$C$6:$C$39,1))/(_xlfn.MAXIFS(O$6:O$39,$C$6:$C$39,1)-_xlfn.MINIFS(O$6:O$39,$C$6:$C$39,1)),"")</f>
        <v/>
      </c>
      <c r="AF22" s="11" t="str">
        <f aca="false">IF($C22=1,100*(P22-_xlfn.MINIFS(P$6:P$39,$C$6:$C$39,1))/(_xlfn.MAXIFS(P$6:P$39,$C$6:$C$39,1)-_xlfn.MINIFS(P$6:P$39,$C$6:$C$39,1)),"")</f>
        <v/>
      </c>
      <c r="AG22" s="11" t="str">
        <f aca="false">IF($C22=1,100*(Q22-_xlfn.MINIFS(Q$6:Q$39,$C$6:$C$39,1))/(_xlfn.MAXIFS(Q$6:Q$39,$C$6:$C$39,1)-_xlfn.MINIFS(Q$6:Q$39,$C$6:$C$39,1)),"")</f>
        <v/>
      </c>
      <c r="AH22" s="11" t="str">
        <f aca="false">IF($C22=1,AVERAGE(AD22:AG22),"")</f>
        <v/>
      </c>
      <c r="AI22" s="11" t="str">
        <f aca="false">IF($C22=1,100*(_xlfn.MAXIFS(R$6:R$39,$C$6:$C$39,1)-R22)/(_xlfn.MAXIFS(R$6:R$39,$C$6:$C$39,1)-_xlfn.MINIFS(R$6:R$39,$C$6:$C$39,1)),"")</f>
        <v/>
      </c>
      <c r="AJ22" s="11" t="str">
        <f aca="false">IF($C22=1,100*(_xlfn.MAXIFS(S$6:S$39,$C$6:$C$39,1)-S22)/(_xlfn.MAXIFS(S$6:S$39,$C$6:$C$39,1)-_xlfn.MINIFS(S$6:S$39,$C$6:$C$39,1)),"")</f>
        <v/>
      </c>
      <c r="AK22" s="11" t="str">
        <f aca="false">IF($C22=1,100*(T22-_xlfn.MINIFS(T$6:T$39,$C$6:$C$39,1))/(_xlfn.MAXIFS(T$6:T$39,$C$6:$C$39,1)-_xlfn.MINIFS(T$6:T$39,$C$6:$C$39,1)),"")</f>
        <v/>
      </c>
      <c r="AL22" s="11" t="str">
        <f aca="false">IF($C22=1,AVERAGE(AI22:AK22),"")</f>
        <v/>
      </c>
      <c r="AM22" s="11" t="str">
        <f aca="false">IF($C22=1,100*(U22-_xlfn.MINIFS(U$6:U$39,$C$6:$C$39,1))/(_xlfn.MAXIFS(U$6:U$39,$C$6:$C$39,1)-_xlfn.MINIFS(U$6:U$39,$C$6:$C$39,1)),"")</f>
        <v/>
      </c>
      <c r="AN22" s="11" t="str">
        <f aca="false">IF($C22=1,100*(V22-_xlfn.MINIFS(V$6:V$39,$C$6:$C$39,1))/(_xlfn.MAXIFS(V$6:V$39,$C$6:$C$39,1)-_xlfn.MINIFS(V$6:V$39,$C$6:$C$39,1)),"")</f>
        <v/>
      </c>
      <c r="AO22" s="11" t="str">
        <f aca="false">IF($C22=1,100*(M22-_xlfn.MINIFS(M$6:M$39,$C$6:$C$39,1))/(_xlfn.MAXIFS(M$6:M$39,$C$6:$C$39,1)-_xlfn.MINIFS(M$6:M$39,$C$6:$C$39,1)),"")</f>
        <v/>
      </c>
      <c r="AP22" s="11" t="str">
        <f aca="false">IF($C22=1,W22,"")</f>
        <v/>
      </c>
      <c r="AQ22" s="15" t="str">
        <f aca="false">IF($C22=1,Inputs!$D$52*AH22+Inputs!$D$53*AL22+Inputs!$D$54*AM22+Inputs!$D$55*AN22+Inputs!$D$56*AO22+Inputs!$D$57*AP22,"")</f>
        <v/>
      </c>
      <c r="AR22" s="12" t="str">
        <f aca="false">IF($C22=1,SQRT(AC22*AQ22),"")</f>
        <v/>
      </c>
      <c r="AS22" s="41" t="str">
        <f aca="false">IF($C22=1,COUNTIFS($C$6:$C$39,1,$AR$6:$AR$39,"&gt;"&amp;AR22)+1,"")</f>
        <v/>
      </c>
      <c r="AT22" s="13" t="str">
        <f aca="false">IF($C22=1,Inputs!$D$38+Inputs!$D$39*(1-AL22/100)+Inputs!$D$40*(1-AP22/100),"")</f>
        <v/>
      </c>
      <c r="AU22" s="5" t="str">
        <f aca="false">IF($C22=1,IF(AC22&gt;=MEDIAN(AC$6:AC$39),IF(AQ22&gt;=MEDIAN(AQ$6:AQ$39),"Prioritise","Big but hard"),IF(AQ22&gt;=MEDIAN(AQ$6:AQ$39),"Easy but small","Deprioritise")),"")</f>
        <v/>
      </c>
    </row>
    <row r="23" customFormat="false" ht="15" hidden="false" customHeight="false" outlineLevel="0" collapsed="false">
      <c r="A23" s="34" t="str">
        <f aca="false">Data!A23</f>
        <v>Liberia</v>
      </c>
      <c r="B23" s="34" t="str">
        <f aca="false">Data!B23</f>
        <v>LBR</v>
      </c>
      <c r="C23" s="35" t="n">
        <f aca="false">Data!AB23</f>
        <v>1</v>
      </c>
      <c r="D23" s="32" t="n">
        <f aca="false">LN(MAX(Pools!R23,0.000001))</f>
        <v>1.07215983060827</v>
      </c>
      <c r="E23" s="36" t="n">
        <f aca="false">Pools!U23</f>
        <v>0.0962574780020584</v>
      </c>
      <c r="F23" s="11" t="n">
        <f aca="false">IF(Data!H23="","",MAX(0,(Inputs!$D$67-Data!H23)*100))</f>
        <v>49.3062492519133</v>
      </c>
      <c r="G23" s="11" t="n">
        <f aca="false">IF(COUNT(Data!T23,Data!U23)=0,"",AVERAGE(Data!T23,Data!U23))</f>
        <v>14.3050662575986</v>
      </c>
      <c r="H23" s="11" t="n">
        <f aca="false">IF(Data!O23="","",MIN(Inputs!$D$60,Data!O23))</f>
        <v>15</v>
      </c>
      <c r="I23" s="11" t="n">
        <f aca="false">IF(Data!I23="","",(Data!E23-Data!I23)*100)</f>
        <v>26.6858618384763</v>
      </c>
      <c r="J23" s="11" t="n">
        <f aca="false">IF(F23="",MEDIAN(F$6:F$39),F23)</f>
        <v>49.3062492519133</v>
      </c>
      <c r="K23" s="11" t="n">
        <f aca="false">IF(G23="",MEDIAN(G$6:G$39),G23)</f>
        <v>14.3050662575986</v>
      </c>
      <c r="L23" s="11" t="n">
        <f aca="false">IF(H23="",MEDIAN(H$6:H$39),H23)</f>
        <v>15</v>
      </c>
      <c r="M23" s="11" t="n">
        <f aca="false">IF(I23="",MEDIAN(I$6:I$39),I23)</f>
        <v>26.6858618384763</v>
      </c>
      <c r="N23" s="11" t="n">
        <f aca="false">IF(Data!L23="",MIN(Inputs!$D$59,MEDIAN(Data!$L$6:$L$39)),MIN(Inputs!$D$59,Data!L23))</f>
        <v>32.0638885570006</v>
      </c>
      <c r="O23" s="11" t="n">
        <f aca="false">IF(Data!M23="",MEDIAN(Data!$M$6:$M$39),Data!M23)</f>
        <v>32.23360062</v>
      </c>
      <c r="P23" s="11" t="n">
        <f aca="false">IF(Data!N23="",MEDIAN(Data!$N$6:$N$39),Data!N23)</f>
        <v>34.9</v>
      </c>
      <c r="Q23" s="11" t="n">
        <f aca="false">IF(Data!K23="",MEDIAN(Data!$K$6:$K$39),Data!K23)</f>
        <v>55.5387986654968</v>
      </c>
      <c r="R23" s="11" t="n">
        <f aca="false">IF(Data!Q23="",MIN(Inputs!$D$61,MEDIAN(Data!$Q$6:$Q$39)),MIN(Inputs!$D$61,Data!Q23))</f>
        <v>8.63413760778262</v>
      </c>
      <c r="S23" s="11" t="n">
        <f aca="false">IF(Data!R23="",MAX(Inputs!$D$63,MIN(Inputs!$D$62,MEDIAN(Data!$R$6:$R$39))),MAX(Inputs!$D$63,MIN(Inputs!$D$62,Data!R23)))</f>
        <v>4.69881523335391</v>
      </c>
      <c r="T23" s="11" t="n">
        <f aca="false">IF(Data!S23="",MEDIAN(Data!$S$6:$S$39),Data!S23)</f>
        <v>4.50457223672267</v>
      </c>
      <c r="U23" s="39" t="n">
        <f aca="false">Pools!E23</f>
        <v>0.910279131641762</v>
      </c>
      <c r="V23" s="40" t="n">
        <f aca="false">Data!W23</f>
        <v>20</v>
      </c>
      <c r="W23" s="40" t="n">
        <f aca="false">Data!X23</f>
        <v>100</v>
      </c>
      <c r="X23" s="11" t="n">
        <f aca="false">IF($C23=1,100*(D23-_xlfn.MINIFS(D$6:D$39,$C$6:$C$39,1))/(_xlfn.MAXIFS(D$6:D$39,$C$6:$C$39,1)-_xlfn.MINIFS(D$6:D$39,$C$6:$C$39,1)),"")</f>
        <v>12.6337168583989</v>
      </c>
      <c r="Y23" s="11" t="n">
        <f aca="false">IF($C23=1,100*(E23-_xlfn.MINIFS(E$6:E$39,$C$6:$C$39,1))/(_xlfn.MAXIFS(E$6:E$39,$C$6:$C$39,1)-_xlfn.MINIFS(E$6:E$39,$C$6:$C$39,1)),"")</f>
        <v>30.2730147952593</v>
      </c>
      <c r="Z23" s="11" t="n">
        <f aca="false">IF($C23=1,100*(J23-_xlfn.MINIFS(J$6:J$39,$C$6:$C$39,1))/(_xlfn.MAXIFS(J$6:J$39,$C$6:$C$39,1)-_xlfn.MINIFS(J$6:J$39,$C$6:$C$39,1)),"")</f>
        <v>90.939337199807</v>
      </c>
      <c r="AA23" s="11" t="n">
        <f aca="false">IF($C23=1,100*(L23-_xlfn.MINIFS(L$6:L$39,$C$6:$C$39,1))/(_xlfn.MAXIFS(L$6:L$39,$C$6:$C$39,1)-_xlfn.MINIFS(L$6:L$39,$C$6:$C$39,1)),"")</f>
        <v>100</v>
      </c>
      <c r="AB23" s="11" t="n">
        <f aca="false">IF($C23=1,100*(K23-_xlfn.MINIFS(K$6:K$39,$C$6:$C$39,1))/(_xlfn.MAXIFS(K$6:K$39,$C$6:$C$39,1)-_xlfn.MINIFS(K$6:K$39,$C$6:$C$39,1)),"")</f>
        <v>50.6907733324464</v>
      </c>
      <c r="AC23" s="15" t="n">
        <f aca="false">IF($C23=1,Inputs!$D$46*X23+Inputs!$D$47*Y23+Inputs!$D$48*Z23+Inputs!$D$49*AA23+Inputs!$D$50*AB23,"")</f>
        <v>46.7209204393295</v>
      </c>
      <c r="AD23" s="11" t="n">
        <f aca="false">IF($C23=1,100*(N23-_xlfn.MINIFS(N$6:N$39,$C$6:$C$39,1))/(_xlfn.MAXIFS(N$6:N$39,$C$6:$C$39,1)-_xlfn.MINIFS(N$6:N$39,$C$6:$C$39,1)),"")</f>
        <v>0</v>
      </c>
      <c r="AE23" s="11" t="n">
        <f aca="false">IF($C23=1,100*(O23-_xlfn.MINIFS(O$6:O$39,$C$6:$C$39,1))/(_xlfn.MAXIFS(O$6:O$39,$C$6:$C$39,1)-_xlfn.MINIFS(O$6:O$39,$C$6:$C$39,1)),"")</f>
        <v>33.5463461855998</v>
      </c>
      <c r="AF23" s="11" t="n">
        <f aca="false">IF($C23=1,100*(P23-_xlfn.MINIFS(P$6:P$39,$C$6:$C$39,1))/(_xlfn.MAXIFS(P$6:P$39,$C$6:$C$39,1)-_xlfn.MINIFS(P$6:P$39,$C$6:$C$39,1)),"")</f>
        <v>27.3885350318471</v>
      </c>
      <c r="AG23" s="11" t="n">
        <f aca="false">IF($C23=1,100*(Q23-_xlfn.MINIFS(Q$6:Q$39,$C$6:$C$39,1))/(_xlfn.MAXIFS(Q$6:Q$39,$C$6:$C$39,1)-_xlfn.MINIFS(Q$6:Q$39,$C$6:$C$39,1)),"")</f>
        <v>82.0931974133806</v>
      </c>
      <c r="AH23" s="11" t="n">
        <f aca="false">IF($C23=1,AVERAGE(AD23:AG23),"")</f>
        <v>35.7570196577069</v>
      </c>
      <c r="AI23" s="11" t="n">
        <f aca="false">IF($C23=1,100*(_xlfn.MAXIFS(R$6:R$39,$C$6:$C$39,1)-R23)/(_xlfn.MAXIFS(R$6:R$39,$C$6:$C$39,1)-_xlfn.MINIFS(R$6:R$39,$C$6:$C$39,1)),"")</f>
        <v>82.0025478400632</v>
      </c>
      <c r="AJ23" s="11" t="n">
        <f aca="false">IF($C23=1,100*(_xlfn.MAXIFS(S$6:S$39,$C$6:$C$39,1)-S23)/(_xlfn.MAXIFS(S$6:S$39,$C$6:$C$39,1)-_xlfn.MINIFS(S$6:S$39,$C$6:$C$39,1)),"")</f>
        <v>86.5141682186851</v>
      </c>
      <c r="AK23" s="11" t="n">
        <f aca="false">IF($C23=1,100*(T23-_xlfn.MINIFS(T$6:T$39,$C$6:$C$39,1))/(_xlfn.MAXIFS(T$6:T$39,$C$6:$C$39,1)-_xlfn.MINIFS(T$6:T$39,$C$6:$C$39,1)),"")</f>
        <v>49.2241620054922</v>
      </c>
      <c r="AL23" s="11" t="n">
        <f aca="false">IF($C23=1,AVERAGE(AI23:AK23),"")</f>
        <v>72.5802926880802</v>
      </c>
      <c r="AM23" s="11" t="n">
        <f aca="false">IF($C23=1,100*(U23-_xlfn.MINIFS(U$6:U$39,$C$6:$C$39,1))/(_xlfn.MAXIFS(U$6:U$39,$C$6:$C$39,1)-_xlfn.MINIFS(U$6:U$39,$C$6:$C$39,1)),"")</f>
        <v>93.0815340580732</v>
      </c>
      <c r="AN23" s="11" t="n">
        <f aca="false">IF($C23=1,100*(V23-_xlfn.MINIFS(V$6:V$39,$C$6:$C$39,1))/(_xlfn.MAXIFS(V$6:V$39,$C$6:$C$39,1)-_xlfn.MINIFS(V$6:V$39,$C$6:$C$39,1)),"")</f>
        <v>0</v>
      </c>
      <c r="AO23" s="11" t="n">
        <f aca="false">IF($C23=1,100*(M23-_xlfn.MINIFS(M$6:M$39,$C$6:$C$39,1))/(_xlfn.MAXIFS(M$6:M$39,$C$6:$C$39,1)-_xlfn.MINIFS(M$6:M$39,$C$6:$C$39,1)),"")</f>
        <v>63.1096870171108</v>
      </c>
      <c r="AP23" s="11" t="n">
        <f aca="false">IF($C23=1,W23,"")</f>
        <v>100</v>
      </c>
      <c r="AQ23" s="15" t="n">
        <f aca="false">IF($C23=1,Inputs!$D$52*AH23+Inputs!$D$53*AL23+Inputs!$D$54*AM23+Inputs!$D$55*AN23+Inputs!$D$56*AO23+Inputs!$D$57*AP23,"")</f>
        <v>61.9406612795795</v>
      </c>
      <c r="AR23" s="12" t="n">
        <f aca="false">IF($C23=1,SQRT(AC23*AQ23),"")</f>
        <v>53.7952108240379</v>
      </c>
      <c r="AS23" s="41" t="n">
        <f aca="false">IF($C23=1,COUNTIFS($C$6:$C$39,1,$AR$6:$AR$39,"&gt;"&amp;AR23)+1,"")</f>
        <v>10</v>
      </c>
      <c r="AT23" s="13" t="n">
        <f aca="false">IF($C23=1,Inputs!$D$38+Inputs!$D$39*(1-AL23/100)+Inputs!$D$40*(1-AP23/100),"")</f>
        <v>0.130967882924768</v>
      </c>
      <c r="AU23" s="5" t="str">
        <f aca="false">IF($C23=1,IF(AC23&gt;=MEDIAN(AC$6:AC$39),IF(AQ23&gt;=MEDIAN(AQ$6:AQ$39),"Prioritise","Big but hard"),IF(AQ23&gt;=MEDIAN(AQ$6:AQ$39),"Easy but small","Deprioritise")),"")</f>
        <v>Prioritise</v>
      </c>
    </row>
    <row r="24" customFormat="false" ht="15" hidden="false" customHeight="false" outlineLevel="0" collapsed="false">
      <c r="A24" s="34" t="str">
        <f aca="false">Data!A24</f>
        <v>Madagascar</v>
      </c>
      <c r="B24" s="34" t="str">
        <f aca="false">Data!B24</f>
        <v>MDG</v>
      </c>
      <c r="C24" s="35" t="n">
        <f aca="false">Data!AB24</f>
        <v>1</v>
      </c>
      <c r="D24" s="32" t="n">
        <f aca="false">LN(MAX(Pools!R24,0.000001))</f>
        <v>2.4008156901531</v>
      </c>
      <c r="E24" s="36" t="n">
        <f aca="false">Pools!U24</f>
        <v>0.161914734998392</v>
      </c>
      <c r="F24" s="11" t="n">
        <f aca="false">IF(Data!H24="","",MAX(0,(Inputs!$D$67-Data!H24)*100))</f>
        <v>53.3388498549442</v>
      </c>
      <c r="G24" s="11" t="n">
        <f aca="false">IF(COUNT(Data!T24,Data!U24)=0,"",AVERAGE(Data!T24,Data!U24))</f>
        <v>13.298451160488</v>
      </c>
      <c r="H24" s="11" t="n">
        <f aca="false">IF(Data!O24="","",MIN(Inputs!$D$60,Data!O24))</f>
        <v>2.30923332864651</v>
      </c>
      <c r="I24" s="11" t="n">
        <f aca="false">IF(Data!I24="","",(Data!E24-Data!I24)*100)</f>
        <v>7.2997139996237</v>
      </c>
      <c r="J24" s="11" t="n">
        <f aca="false">IF(F24="",MEDIAN(F$6:F$39),F24)</f>
        <v>53.3388498549442</v>
      </c>
      <c r="K24" s="11" t="n">
        <f aca="false">IF(G24="",MEDIAN(G$6:G$39),G24)</f>
        <v>13.298451160488</v>
      </c>
      <c r="L24" s="11" t="n">
        <f aca="false">IF(H24="",MEDIAN(H$6:H$39),H24)</f>
        <v>2.30923332864651</v>
      </c>
      <c r="M24" s="11" t="n">
        <f aca="false">IF(I24="",MEDIAN(I$6:I$39),I24)</f>
        <v>7.2997139996237</v>
      </c>
      <c r="N24" s="11" t="n">
        <f aca="false">IF(Data!L24="",MIN(Inputs!$D$59,MEDIAN(Data!$L$6:$L$39)),MIN(Inputs!$D$59,Data!L24))</f>
        <v>75.4562966735535</v>
      </c>
      <c r="O24" s="11" t="n">
        <f aca="false">IF(Data!M24="",MEDIAN(Data!$M$6:$M$39),Data!M24)</f>
        <v>18.67790031</v>
      </c>
      <c r="P24" s="11" t="n">
        <f aca="false">IF(Data!N24="",MEDIAN(Data!$N$6:$N$39),Data!N24)</f>
        <v>42.5</v>
      </c>
      <c r="Q24" s="11" t="n">
        <f aca="false">IF(Data!K24="",MEDIAN(Data!$K$6:$K$39),Data!K24)</f>
        <v>32.4339893339844</v>
      </c>
      <c r="R24" s="11" t="n">
        <f aca="false">IF(Data!Q24="",MIN(Inputs!$D$61,MEDIAN(Data!$Q$6:$Q$39)),MIN(Inputs!$D$61,Data!Q24))</f>
        <v>8.54942497116818</v>
      </c>
      <c r="S24" s="11" t="n">
        <f aca="false">IF(Data!R24="",MAX(Inputs!$D$63,MIN(Inputs!$D$62,MEDIAN(Data!$R$6:$R$39))),MAX(Inputs!$D$63,MIN(Inputs!$D$62,Data!R24)))</f>
        <v>5.56174713429355</v>
      </c>
      <c r="T24" s="11" t="n">
        <f aca="false">IF(Data!S24="",MEDIAN(Data!$S$6:$S$39),Data!S24)</f>
        <v>4.23041281246881</v>
      </c>
      <c r="U24" s="39" t="n">
        <f aca="false">Pools!E24</f>
        <v>0.791611701659846</v>
      </c>
      <c r="V24" s="40" t="n">
        <f aca="false">Data!W24</f>
        <v>20</v>
      </c>
      <c r="W24" s="40" t="n">
        <f aca="false">Data!X24</f>
        <v>100</v>
      </c>
      <c r="X24" s="11" t="n">
        <f aca="false">IF($C24=1,100*(D24-_xlfn.MINIFS(D$6:D$39,$C$6:$C$39,1))/(_xlfn.MAXIFS(D$6:D$39,$C$6:$C$39,1)-_xlfn.MINIFS(D$6:D$39,$C$6:$C$39,1)),"")</f>
        <v>44.6497160182058</v>
      </c>
      <c r="Y24" s="11" t="n">
        <f aca="false">IF($C24=1,100*(E24-_xlfn.MINIFS(E$6:E$39,$C$6:$C$39,1))/(_xlfn.MAXIFS(E$6:E$39,$C$6:$C$39,1)-_xlfn.MINIFS(E$6:E$39,$C$6:$C$39,1)),"")</f>
        <v>69.2516189502915</v>
      </c>
      <c r="Z24" s="11" t="n">
        <f aca="false">IF($C24=1,100*(J24-_xlfn.MINIFS(J$6:J$39,$C$6:$C$39,1))/(_xlfn.MAXIFS(J$6:J$39,$C$6:$C$39,1)-_xlfn.MINIFS(J$6:J$39,$C$6:$C$39,1)),"")</f>
        <v>100</v>
      </c>
      <c r="AA24" s="11" t="n">
        <f aca="false">IF($C24=1,100*(L24-_xlfn.MINIFS(L$6:L$39,$C$6:$C$39,1))/(_xlfn.MAXIFS(L$6:L$39,$C$6:$C$39,1)-_xlfn.MINIFS(L$6:L$39,$C$6:$C$39,1)),"")</f>
        <v>14.174836738562</v>
      </c>
      <c r="AB24" s="11" t="n">
        <f aca="false">IF($C24=1,100*(K24-_xlfn.MINIFS(K$6:K$39,$C$6:$C$39,1))/(_xlfn.MAXIFS(K$6:K$39,$C$6:$C$39,1)-_xlfn.MINIFS(K$6:K$39,$C$6:$C$39,1)),"")</f>
        <v>46.1210189376566</v>
      </c>
      <c r="AC24" s="15" t="n">
        <f aca="false">IF($C24=1,Inputs!$D$46*X24+Inputs!$D$47*Y24+Inputs!$D$48*Z24+Inputs!$D$49*AA24+Inputs!$D$50*AB24,"")</f>
        <v>53.5221027478631</v>
      </c>
      <c r="AD24" s="11" t="n">
        <f aca="false">IF($C24=1,100*(N24-_xlfn.MINIFS(N$6:N$39,$C$6:$C$39,1))/(_xlfn.MAXIFS(N$6:N$39,$C$6:$C$39,1)-_xlfn.MINIFS(N$6:N$39,$C$6:$C$39,1)),"")</f>
        <v>49.3453797359235</v>
      </c>
      <c r="AE24" s="11" t="n">
        <f aca="false">IF($C24=1,100*(O24-_xlfn.MINIFS(O$6:O$39,$C$6:$C$39,1))/(_xlfn.MAXIFS(O$6:O$39,$C$6:$C$39,1)-_xlfn.MINIFS(O$6:O$39,$C$6:$C$39,1)),"")</f>
        <v>14.015822391538</v>
      </c>
      <c r="AF24" s="11" t="n">
        <f aca="false">IF($C24=1,100*(P24-_xlfn.MINIFS(P$6:P$39,$C$6:$C$39,1))/(_xlfn.MAXIFS(P$6:P$39,$C$6:$C$39,1)-_xlfn.MINIFS(P$6:P$39,$C$6:$C$39,1)),"")</f>
        <v>37.0700636942675</v>
      </c>
      <c r="AG24" s="11" t="n">
        <f aca="false">IF($C24=1,100*(Q24-_xlfn.MINIFS(Q$6:Q$39,$C$6:$C$39,1))/(_xlfn.MAXIFS(Q$6:Q$39,$C$6:$C$39,1)-_xlfn.MINIFS(Q$6:Q$39,$C$6:$C$39,1)),"")</f>
        <v>32.5313200618993</v>
      </c>
      <c r="AH24" s="11" t="n">
        <f aca="false">IF($C24=1,AVERAGE(AD24:AG24),"")</f>
        <v>33.2406464709071</v>
      </c>
      <c r="AI24" s="11" t="n">
        <f aca="false">IF($C24=1,100*(_xlfn.MAXIFS(R$6:R$39,$C$6:$C$39,1)-R24)/(_xlfn.MAXIFS(R$6:R$39,$C$6:$C$39,1)-_xlfn.MINIFS(R$6:R$39,$C$6:$C$39,1)),"")</f>
        <v>82.224019577386</v>
      </c>
      <c r="AJ24" s="11" t="n">
        <f aca="false">IF($C24=1,100*(_xlfn.MAXIFS(S$6:S$39,$C$6:$C$39,1)-S24)/(_xlfn.MAXIFS(S$6:S$39,$C$6:$C$39,1)-_xlfn.MINIFS(S$6:S$39,$C$6:$C$39,1)),"")</f>
        <v>84.3993430043852</v>
      </c>
      <c r="AK24" s="11" t="n">
        <f aca="false">IF($C24=1,100*(T24-_xlfn.MINIFS(T$6:T$39,$C$6:$C$39,1))/(_xlfn.MAXIFS(T$6:T$39,$C$6:$C$39,1)-_xlfn.MINIFS(T$6:T$39,$C$6:$C$39,1)),"")</f>
        <v>45.2214653475363</v>
      </c>
      <c r="AL24" s="11" t="n">
        <f aca="false">IF($C24=1,AVERAGE(AI24:AK24),"")</f>
        <v>70.6149426431025</v>
      </c>
      <c r="AM24" s="11" t="n">
        <f aca="false">IF($C24=1,100*(U24-_xlfn.MINIFS(U$6:U$39,$C$6:$C$39,1))/(_xlfn.MAXIFS(U$6:U$39,$C$6:$C$39,1)-_xlfn.MINIFS(U$6:U$39,$C$6:$C$39,1)),"")</f>
        <v>77.6685389780693</v>
      </c>
      <c r="AN24" s="11" t="n">
        <f aca="false">IF($C24=1,100*(V24-_xlfn.MINIFS(V$6:V$39,$C$6:$C$39,1))/(_xlfn.MAXIFS(V$6:V$39,$C$6:$C$39,1)-_xlfn.MINIFS(V$6:V$39,$C$6:$C$39,1)),"")</f>
        <v>0</v>
      </c>
      <c r="AO24" s="11" t="n">
        <f aca="false">IF($C24=1,100*(M24-_xlfn.MINIFS(M$6:M$39,$C$6:$C$39,1))/(_xlfn.MAXIFS(M$6:M$39,$C$6:$C$39,1)-_xlfn.MINIFS(M$6:M$39,$C$6:$C$39,1)),"")</f>
        <v>24.7998477657852</v>
      </c>
      <c r="AP24" s="11" t="n">
        <f aca="false">IF($C24=1,W24,"")</f>
        <v>100</v>
      </c>
      <c r="AQ24" s="15" t="n">
        <f aca="false">IF($C24=1,Inputs!$D$52*AH24+Inputs!$D$53*AL24+Inputs!$D$54*AM24+Inputs!$D$55*AN24+Inputs!$D$56*AO24+Inputs!$D$57*AP24,"")</f>
        <v>54.9013834460908</v>
      </c>
      <c r="AR24" s="12" t="n">
        <f aca="false">IF($C24=1,SQRT(AC24*AQ24),"")</f>
        <v>54.2073563808595</v>
      </c>
      <c r="AS24" s="41" t="n">
        <f aca="false">IF($C24=1,COUNTIFS($C$6:$C$39,1,$AR$6:$AR$39,"&gt;"&amp;AR24)+1,"")</f>
        <v>9</v>
      </c>
      <c r="AT24" s="13" t="n">
        <f aca="false">IF($C24=1,Inputs!$D$38+Inputs!$D$39*(1-AL24/100)+Inputs!$D$40*(1-AP24/100),"")</f>
        <v>0.131754022942759</v>
      </c>
      <c r="AU24" s="5" t="str">
        <f aca="false">IF($C24=1,IF(AC24&gt;=MEDIAN(AC$6:AC$39),IF(AQ24&gt;=MEDIAN(AQ$6:AQ$39),"Prioritise","Big but hard"),IF(AQ24&gt;=MEDIAN(AQ$6:AQ$39),"Easy but small","Deprioritise")),"")</f>
        <v>Big but hard</v>
      </c>
    </row>
    <row r="25" customFormat="false" ht="15" hidden="false" customHeight="false" outlineLevel="0" collapsed="false">
      <c r="A25" s="34" t="str">
        <f aca="false">Data!A25</f>
        <v>Malawi</v>
      </c>
      <c r="B25" s="34" t="str">
        <f aca="false">Data!B25</f>
        <v>MWI</v>
      </c>
      <c r="C25" s="35" t="n">
        <f aca="false">Data!AB25</f>
        <v>1</v>
      </c>
      <c r="D25" s="32" t="n">
        <f aca="false">LN(MAX(Pools!R25,0.000001))</f>
        <v>2.45120335026676</v>
      </c>
      <c r="E25" s="36" t="n">
        <f aca="false">Pools!U25</f>
        <v>0.100995388337744</v>
      </c>
      <c r="F25" s="11" t="n">
        <f aca="false">IF(Data!H25="","",MAX(0,(Inputs!$D$67-Data!H25)*100))</f>
        <v>45.3216889851139</v>
      </c>
      <c r="G25" s="11" t="n">
        <f aca="false">IF(COUNT(Data!T25,Data!U25)=0,"",AVERAGE(Data!T25,Data!U25))</f>
        <v>14.3275680782323</v>
      </c>
      <c r="H25" s="11" t="n">
        <f aca="false">IF(Data!O25="","",MIN(Inputs!$D$60,Data!O25))</f>
        <v>1.97676396289947</v>
      </c>
      <c r="I25" s="11" t="n">
        <f aca="false">IF(Data!I25="","",(Data!E25-Data!I25)*100)</f>
        <v>27.0963661777449</v>
      </c>
      <c r="J25" s="11" t="n">
        <f aca="false">IF(F25="",MEDIAN(F$6:F$39),F25)</f>
        <v>45.3216889851139</v>
      </c>
      <c r="K25" s="11" t="n">
        <f aca="false">IF(G25="",MEDIAN(G$6:G$39),G25)</f>
        <v>14.3275680782323</v>
      </c>
      <c r="L25" s="11" t="n">
        <f aca="false">IF(H25="",MEDIAN(H$6:H$39),H25)</f>
        <v>1.97676396289947</v>
      </c>
      <c r="M25" s="11" t="n">
        <f aca="false">IF(I25="",MEDIAN(I$6:I$39),I25)</f>
        <v>27.0963661777449</v>
      </c>
      <c r="N25" s="11" t="n">
        <f aca="false">IF(Data!L25="",MIN(Inputs!$D$59,MEDIAN(Data!$L$6:$L$39)),MIN(Inputs!$D$59,Data!L25))</f>
        <v>69.260530662121</v>
      </c>
      <c r="O25" s="11" t="n">
        <f aca="false">IF(Data!M25="",MEDIAN(Data!$M$6:$M$39),Data!M25)</f>
        <v>18.96159935</v>
      </c>
      <c r="P25" s="11" t="n">
        <f aca="false">IF(Data!N25="",MEDIAN(Data!$N$6:$N$39),Data!N25)</f>
        <v>15.6</v>
      </c>
      <c r="Q25" s="11" t="n">
        <f aca="false">IF(Data!K25="",MEDIAN(Data!$K$6:$K$39),Data!K25)</f>
        <v>17.268503531213</v>
      </c>
      <c r="R25" s="11" t="n">
        <f aca="false">IF(Data!Q25="",MIN(Inputs!$D$61,MEDIAN(Data!$Q$6:$Q$39)),MIN(Inputs!$D$61,Data!Q25))</f>
        <v>27.3077876590671</v>
      </c>
      <c r="S25" s="11" t="n">
        <f aca="false">IF(Data!R25="",MAX(Inputs!$D$63,MIN(Inputs!$D$62,MEDIAN(Data!$R$6:$R$39))),MAX(Inputs!$D$63,MIN(Inputs!$D$62,Data!R25)))</f>
        <v>18.2579513850987</v>
      </c>
      <c r="T25" s="11" t="n">
        <f aca="false">IF(Data!S25="",MEDIAN(Data!$S$6:$S$39),Data!S25)</f>
        <v>1.51343399035243</v>
      </c>
      <c r="U25" s="39" t="n">
        <f aca="false">Pools!E25</f>
        <v>0.941026524164498</v>
      </c>
      <c r="V25" s="40" t="n">
        <f aca="false">Data!W25</f>
        <v>60</v>
      </c>
      <c r="W25" s="40" t="n">
        <f aca="false">Data!X25</f>
        <v>100</v>
      </c>
      <c r="X25" s="11" t="n">
        <f aca="false">IF($C25=1,100*(D25-_xlfn.MINIFS(D$6:D$39,$C$6:$C$39,1))/(_xlfn.MAXIFS(D$6:D$39,$C$6:$C$39,1)-_xlfn.MINIFS(D$6:D$39,$C$6:$C$39,1)),"")</f>
        <v>45.8638839099699</v>
      </c>
      <c r="Y25" s="11" t="n">
        <f aca="false">IF($C25=1,100*(E25-_xlfn.MINIFS(E$6:E$39,$C$6:$C$39,1))/(_xlfn.MAXIFS(E$6:E$39,$C$6:$C$39,1)-_xlfn.MINIFS(E$6:E$39,$C$6:$C$39,1)),"")</f>
        <v>33.0857599501026</v>
      </c>
      <c r="Z25" s="11" t="n">
        <f aca="false">IF($C25=1,100*(J25-_xlfn.MINIFS(J$6:J$39,$C$6:$C$39,1))/(_xlfn.MAXIFS(J$6:J$39,$C$6:$C$39,1)-_xlfn.MINIFS(J$6:J$39,$C$6:$C$39,1)),"")</f>
        <v>81.986613997469</v>
      </c>
      <c r="AA25" s="11" t="n">
        <f aca="false">IF($C25=1,100*(L25-_xlfn.MINIFS(L$6:L$39,$C$6:$C$39,1))/(_xlfn.MAXIFS(L$6:L$39,$C$6:$C$39,1)-_xlfn.MINIFS(L$6:L$39,$C$6:$C$39,1)),"")</f>
        <v>11.9264116958831</v>
      </c>
      <c r="AB25" s="11" t="n">
        <f aca="false">IF($C25=1,100*(K25-_xlfn.MINIFS(K$6:K$39,$C$6:$C$39,1))/(_xlfn.MAXIFS(K$6:K$39,$C$6:$C$39,1)-_xlfn.MINIFS(K$6:K$39,$C$6:$C$39,1)),"")</f>
        <v>50.7929253804601</v>
      </c>
      <c r="AC25" s="15" t="n">
        <f aca="false">IF($C25=1,Inputs!$D$46*X25+Inputs!$D$47*Y25+Inputs!$D$48*Z25+Inputs!$D$49*AA25+Inputs!$D$50*AB25,"")</f>
        <v>44.3754040195818</v>
      </c>
      <c r="AD25" s="11" t="n">
        <f aca="false">IF($C25=1,100*(N25-_xlfn.MINIFS(N$6:N$39,$C$6:$C$39,1))/(_xlfn.MAXIFS(N$6:N$39,$C$6:$C$39,1)-_xlfn.MINIFS(N$6:N$39,$C$6:$C$39,1)),"")</f>
        <v>42.2996212758753</v>
      </c>
      <c r="AE25" s="11" t="n">
        <f aca="false">IF($C25=1,100*(O25-_xlfn.MINIFS(O$6:O$39,$C$6:$C$39,1))/(_xlfn.MAXIFS(O$6:O$39,$C$6:$C$39,1)-_xlfn.MINIFS(O$6:O$39,$C$6:$C$39,1)),"")</f>
        <v>14.4245648928003</v>
      </c>
      <c r="AF25" s="11" t="n">
        <f aca="false">IF($C25=1,100*(P25-_xlfn.MINIFS(P$6:P$39,$C$6:$C$39,1))/(_xlfn.MAXIFS(P$6:P$39,$C$6:$C$39,1)-_xlfn.MINIFS(P$6:P$39,$C$6:$C$39,1)),"")</f>
        <v>2.80254777070064</v>
      </c>
      <c r="AG25" s="11" t="n">
        <f aca="false">IF($C25=1,100*(Q25-_xlfn.MINIFS(Q$6:Q$39,$C$6:$C$39,1))/(_xlfn.MAXIFS(Q$6:Q$39,$C$6:$C$39,1)-_xlfn.MINIFS(Q$6:Q$39,$C$6:$C$39,1)),"")</f>
        <v>0</v>
      </c>
      <c r="AH25" s="11" t="n">
        <f aca="false">IF($C25=1,AVERAGE(AD25:AG25),"")</f>
        <v>14.8816834848441</v>
      </c>
      <c r="AI25" s="11" t="n">
        <f aca="false">IF($C25=1,100*(_xlfn.MAXIFS(R$6:R$39,$C$6:$C$39,1)-R25)/(_xlfn.MAXIFS(R$6:R$39,$C$6:$C$39,1)-_xlfn.MINIFS(R$6:R$39,$C$6:$C$39,1)),"")</f>
        <v>33.1823731376771</v>
      </c>
      <c r="AJ25" s="11" t="n">
        <f aca="false">IF($C25=1,100*(_xlfn.MAXIFS(S$6:S$39,$C$6:$C$39,1)-S25)/(_xlfn.MAXIFS(S$6:S$39,$C$6:$C$39,1)-_xlfn.MINIFS(S$6:S$39,$C$6:$C$39,1)),"")</f>
        <v>53.2841960892383</v>
      </c>
      <c r="AK25" s="11" t="n">
        <f aca="false">IF($C25=1,100*(T25-_xlfn.MINIFS(T$6:T$39,$C$6:$C$39,1))/(_xlfn.MAXIFS(T$6:T$39,$C$6:$C$39,1)-_xlfn.MINIFS(T$6:T$39,$C$6:$C$39,1)),"")</f>
        <v>5.55388112853749</v>
      </c>
      <c r="AL25" s="11" t="n">
        <f aca="false">IF($C25=1,AVERAGE(AI25:AK25),"")</f>
        <v>30.6734834518176</v>
      </c>
      <c r="AM25" s="11" t="n">
        <f aca="false">IF($C25=1,100*(U25-_xlfn.MINIFS(U$6:U$39,$C$6:$C$39,1))/(_xlfn.MAXIFS(U$6:U$39,$C$6:$C$39,1)-_xlfn.MINIFS(U$6:U$39,$C$6:$C$39,1)),"")</f>
        <v>97.0751269904228</v>
      </c>
      <c r="AN25" s="11" t="n">
        <f aca="false">IF($C25=1,100*(V25-_xlfn.MINIFS(V$6:V$39,$C$6:$C$39,1))/(_xlfn.MAXIFS(V$6:V$39,$C$6:$C$39,1)-_xlfn.MINIFS(V$6:V$39,$C$6:$C$39,1)),"")</f>
        <v>50</v>
      </c>
      <c r="AO25" s="11" t="n">
        <f aca="false">IF($C25=1,100*(M25-_xlfn.MINIFS(M$6:M$39,$C$6:$C$39,1))/(_xlfn.MAXIFS(M$6:M$39,$C$6:$C$39,1)-_xlfn.MINIFS(M$6:M$39,$C$6:$C$39,1)),"")</f>
        <v>63.9209031173943</v>
      </c>
      <c r="AP25" s="11" t="n">
        <f aca="false">IF($C25=1,W25,"")</f>
        <v>100</v>
      </c>
      <c r="AQ25" s="15" t="n">
        <f aca="false">IF($C25=1,Inputs!$D$52*AH25+Inputs!$D$53*AL25+Inputs!$D$54*AM25+Inputs!$D$55*AN25+Inputs!$D$56*AO25+Inputs!$D$57*AP25,"")</f>
        <v>57.5643927476352</v>
      </c>
      <c r="AR25" s="12" t="n">
        <f aca="false">IF($C25=1,SQRT(AC25*AQ25),"")</f>
        <v>50.5414996346388</v>
      </c>
      <c r="AS25" s="41" t="n">
        <f aca="false">IF($C25=1,COUNTIFS($C$6:$C$39,1,$AR$6:$AR$39,"&gt;"&amp;AR25)+1,"")</f>
        <v>13</v>
      </c>
      <c r="AT25" s="13" t="n">
        <f aca="false">IF($C25=1,Inputs!$D$38+Inputs!$D$39*(1-AL25/100)+Inputs!$D$40*(1-AP25/100),"")</f>
        <v>0.147730606619273</v>
      </c>
      <c r="AU25" s="5" t="str">
        <f aca="false">IF($C25=1,IF(AC25&gt;=MEDIAN(AC$6:AC$39),IF(AQ25&gt;=MEDIAN(AQ$6:AQ$39),"Prioritise","Big but hard"),IF(AQ25&gt;=MEDIAN(AQ$6:AQ$39),"Easy but small","Deprioritise")),"")</f>
        <v>Easy but small</v>
      </c>
    </row>
    <row r="26" customFormat="false" ht="15" hidden="false" customHeight="false" outlineLevel="0" collapsed="false">
      <c r="A26" s="34" t="str">
        <f aca="false">Data!A26</f>
        <v>Mali</v>
      </c>
      <c r="B26" s="34" t="str">
        <f aca="false">Data!B26</f>
        <v>MLI</v>
      </c>
      <c r="C26" s="35" t="n">
        <f aca="false">Data!AB26</f>
        <v>1</v>
      </c>
      <c r="D26" s="32" t="n">
        <f aca="false">LN(MAX(Pools!R26,0.000001))</f>
        <v>2.63966442527562</v>
      </c>
      <c r="E26" s="36" t="n">
        <f aca="false">Pools!U26</f>
        <v>0.103090004520269</v>
      </c>
      <c r="F26" s="11" t="n">
        <f aca="false">IF(Data!H26="","",MAX(0,(Inputs!$D$67-Data!H26)*100))</f>
        <v>45.5519406294416</v>
      </c>
      <c r="G26" s="11" t="n">
        <f aca="false">IF(COUNT(Data!T26,Data!U26)=0,"",AVERAGE(Data!T26,Data!U26))</f>
        <v>16.9343608484218</v>
      </c>
      <c r="H26" s="11" t="n">
        <f aca="false">IF(Data!O26="","",MIN(Inputs!$D$60,Data!O26))</f>
        <v>3.99433597388338</v>
      </c>
      <c r="I26" s="11" t="n">
        <f aca="false">IF(Data!I26="","",(Data!E26-Data!I26)*100)</f>
        <v>23.9899672931475</v>
      </c>
      <c r="J26" s="11" t="n">
        <f aca="false">IF(F26="",MEDIAN(F$6:F$39),F26)</f>
        <v>45.5519406294416</v>
      </c>
      <c r="K26" s="11" t="n">
        <f aca="false">IF(G26="",MEDIAN(G$6:G$39),G26)</f>
        <v>16.9343608484218</v>
      </c>
      <c r="L26" s="11" t="n">
        <f aca="false">IF(H26="",MEDIAN(H$6:H$39),H26)</f>
        <v>3.99433597388338</v>
      </c>
      <c r="M26" s="11" t="n">
        <f aca="false">IF(I26="",MEDIAN(I$6:I$39),I26)</f>
        <v>23.9899672931475</v>
      </c>
      <c r="N26" s="11" t="n">
        <f aca="false">IF(Data!L26="",MIN(Inputs!$D$59,MEDIAN(Data!$L$6:$L$39)),MIN(Inputs!$D$59,Data!L26))</f>
        <v>112.119852778009</v>
      </c>
      <c r="O26" s="11" t="n">
        <f aca="false">IF(Data!M26="",MEDIAN(Data!$M$6:$M$39),Data!M26)</f>
        <v>36.80149841</v>
      </c>
      <c r="P26" s="11" t="n">
        <f aca="false">IF(Data!N26="",MEDIAN(Data!$N$6:$N$39),Data!N26)</f>
        <v>49.5</v>
      </c>
      <c r="Q26" s="11" t="n">
        <f aca="false">IF(Data!K26="",MEDIAN(Data!$K$6:$K$39),Data!K26)</f>
        <v>31.6075621182225</v>
      </c>
      <c r="R26" s="11" t="n">
        <f aca="false">IF(Data!Q26="",MIN(Inputs!$D$61,MEDIAN(Data!$Q$6:$Q$39)),MIN(Inputs!$D$61,Data!Q26))</f>
        <v>4.96222566954315</v>
      </c>
      <c r="S26" s="11" t="n">
        <f aca="false">IF(Data!R26="",MAX(Inputs!$D$63,MIN(Inputs!$D$62,MEDIAN(Data!$R$6:$R$39))),MAX(Inputs!$D$63,MIN(Inputs!$D$62,Data!R26)))</f>
        <v>2.97758321341949</v>
      </c>
      <c r="T26" s="11" t="n">
        <f aca="false">IF(Data!S26="",MEDIAN(Data!$S$6:$S$39),Data!S26)</f>
        <v>4.49455568944034</v>
      </c>
      <c r="U26" s="39" t="n">
        <f aca="false">Pools!E26</f>
        <v>0.883865030414088</v>
      </c>
      <c r="V26" s="40" t="n">
        <f aca="false">Data!W26</f>
        <v>20</v>
      </c>
      <c r="W26" s="40" t="n">
        <f aca="false">Data!X26</f>
        <v>0</v>
      </c>
      <c r="X26" s="11" t="n">
        <f aca="false">IF($C26=1,100*(D26-_xlfn.MINIFS(D$6:D$39,$C$6:$C$39,1))/(_xlfn.MAXIFS(D$6:D$39,$C$6:$C$39,1)-_xlfn.MINIFS(D$6:D$39,$C$6:$C$39,1)),"")</f>
        <v>50.4051423372701</v>
      </c>
      <c r="Y26" s="11" t="n">
        <f aca="false">IF($C26=1,100*(E26-_xlfn.MINIFS(E$6:E$39,$C$6:$C$39,1))/(_xlfn.MAXIFS(E$6:E$39,$C$6:$C$39,1)-_xlfn.MINIFS(E$6:E$39,$C$6:$C$39,1)),"")</f>
        <v>34.3292662854329</v>
      </c>
      <c r="Z26" s="11" t="n">
        <f aca="false">IF($C26=1,100*(J26-_xlfn.MINIFS(J$6:J$39,$C$6:$C$39,1))/(_xlfn.MAXIFS(J$6:J$39,$C$6:$C$39,1)-_xlfn.MINIFS(J$6:J$39,$C$6:$C$39,1)),"")</f>
        <v>82.5039557116163</v>
      </c>
      <c r="AA26" s="11" t="n">
        <f aca="false">IF($C26=1,100*(L26-_xlfn.MINIFS(L$6:L$39,$C$6:$C$39,1))/(_xlfn.MAXIFS(L$6:L$39,$C$6:$C$39,1)-_xlfn.MINIFS(L$6:L$39,$C$6:$C$39,1)),"")</f>
        <v>25.5708550710235</v>
      </c>
      <c r="AB26" s="11" t="n">
        <f aca="false">IF($C26=1,100*(K26-_xlfn.MINIFS(K$6:K$39,$C$6:$C$39,1))/(_xlfn.MAXIFS(K$6:K$39,$C$6:$C$39,1)-_xlfn.MINIFS(K$6:K$39,$C$6:$C$39,1)),"")</f>
        <v>62.6270442527809</v>
      </c>
      <c r="AC26" s="15" t="n">
        <f aca="false">IF($C26=1,Inputs!$D$46*X26+Inputs!$D$47*Y26+Inputs!$D$48*Z26+Inputs!$D$49*AA26+Inputs!$D$50*AB26,"")</f>
        <v>50.1129313304442</v>
      </c>
      <c r="AD26" s="11" t="n">
        <f aca="false">IF($C26=1,100*(N26-_xlfn.MINIFS(N$6:N$39,$C$6:$C$39,1))/(_xlfn.MAXIFS(N$6:N$39,$C$6:$C$39,1)-_xlfn.MINIFS(N$6:N$39,$C$6:$C$39,1)),"")</f>
        <v>91.0387813462744</v>
      </c>
      <c r="AE26" s="11" t="n">
        <f aca="false">IF($C26=1,100*(O26-_xlfn.MINIFS(O$6:O$39,$C$6:$C$39,1))/(_xlfn.MAXIFS(O$6:O$39,$C$6:$C$39,1)-_xlfn.MINIFS(O$6:O$39,$C$6:$C$39,1)),"")</f>
        <v>40.1275949913606</v>
      </c>
      <c r="AF26" s="11" t="n">
        <f aca="false">IF($C26=1,100*(P26-_xlfn.MINIFS(P$6:P$39,$C$6:$C$39,1))/(_xlfn.MAXIFS(P$6:P$39,$C$6:$C$39,1)-_xlfn.MINIFS(P$6:P$39,$C$6:$C$39,1)),"")</f>
        <v>45.9872611464968</v>
      </c>
      <c r="AG26" s="11" t="n">
        <f aca="false">IF($C26=1,100*(Q26-_xlfn.MINIFS(Q$6:Q$39,$C$6:$C$39,1))/(_xlfn.MAXIFS(Q$6:Q$39,$C$6:$C$39,1)-_xlfn.MINIFS(Q$6:Q$39,$C$6:$C$39,1)),"")</f>
        <v>30.7585599529616</v>
      </c>
      <c r="AH26" s="11" t="n">
        <f aca="false">IF($C26=1,AVERAGE(AD26:AG26),"")</f>
        <v>51.9780493592733</v>
      </c>
      <c r="AI26" s="11" t="n">
        <f aca="false">IF($C26=1,100*(_xlfn.MAXIFS(R$6:R$39,$C$6:$C$39,1)-R26)/(_xlfn.MAXIFS(R$6:R$39,$C$6:$C$39,1)-_xlfn.MINIFS(R$6:R$39,$C$6:$C$39,1)),"")</f>
        <v>91.6023519396531</v>
      </c>
      <c r="AJ26" s="11" t="n">
        <f aca="false">IF($C26=1,100*(_xlfn.MAXIFS(S$6:S$39,$C$6:$C$39,1)-S26)/(_xlfn.MAXIFS(S$6:S$39,$C$6:$C$39,1)-_xlfn.MINIFS(S$6:S$39,$C$6:$C$39,1)),"")</f>
        <v>90.7324673352827</v>
      </c>
      <c r="AK26" s="11" t="n">
        <f aca="false">IF($C26=1,100*(T26-_xlfn.MINIFS(T$6:T$39,$C$6:$C$39,1))/(_xlfn.MAXIFS(T$6:T$39,$C$6:$C$39,1)-_xlfn.MINIFS(T$6:T$39,$C$6:$C$39,1)),"")</f>
        <v>49.0779215454375</v>
      </c>
      <c r="AL26" s="11" t="n">
        <f aca="false">IF($C26=1,AVERAGE(AI26:AK26),"")</f>
        <v>77.1375802734577</v>
      </c>
      <c r="AM26" s="11" t="n">
        <f aca="false">IF($C26=1,100*(U26-_xlfn.MINIFS(U$6:U$39,$C$6:$C$39,1))/(_xlfn.MAXIFS(U$6:U$39,$C$6:$C$39,1)-_xlfn.MINIFS(U$6:U$39,$C$6:$C$39,1)),"")</f>
        <v>89.6507661352581</v>
      </c>
      <c r="AN26" s="11" t="n">
        <f aca="false">IF($C26=1,100*(V26-_xlfn.MINIFS(V$6:V$39,$C$6:$C$39,1))/(_xlfn.MAXIFS(V$6:V$39,$C$6:$C$39,1)-_xlfn.MINIFS(V$6:V$39,$C$6:$C$39,1)),"")</f>
        <v>0</v>
      </c>
      <c r="AO26" s="11" t="n">
        <f aca="false">IF($C26=1,100*(M26-_xlfn.MINIFS(M$6:M$39,$C$6:$C$39,1))/(_xlfn.MAXIFS(M$6:M$39,$C$6:$C$39,1)-_xlfn.MINIFS(M$6:M$39,$C$6:$C$39,1)),"")</f>
        <v>57.7822084727099</v>
      </c>
      <c r="AP26" s="11" t="n">
        <f aca="false">IF($C26=1,W26,"")</f>
        <v>0</v>
      </c>
      <c r="AQ26" s="15" t="n">
        <f aca="false">IF($C26=1,Inputs!$D$52*AH26+Inputs!$D$53*AL26+Inputs!$D$54*AM26+Inputs!$D$55*AN26+Inputs!$D$56*AO26+Inputs!$D$57*AP26,"")</f>
        <v>45.0489616941059</v>
      </c>
      <c r="AR26" s="12" t="n">
        <f aca="false">IF($C26=1,SQRT(AC26*AQ26),"")</f>
        <v>47.5135299034343</v>
      </c>
      <c r="AS26" s="41" t="n">
        <f aca="false">IF($C26=1,COUNTIFS($C$6:$C$39,1,$AR$6:$AR$39,"&gt;"&amp;AR26)+1,"")</f>
        <v>17</v>
      </c>
      <c r="AT26" s="13" t="n">
        <f aca="false">IF($C26=1,Inputs!$D$38+Inputs!$D$39*(1-AL26/100)+Inputs!$D$40*(1-AP26/100),"")</f>
        <v>0.169144967890617</v>
      </c>
      <c r="AU26" s="5" t="str">
        <f aca="false">IF($C26=1,IF(AC26&gt;=MEDIAN(AC$6:AC$39),IF(AQ26&gt;=MEDIAN(AQ$6:AQ$39),"Prioritise","Big but hard"),IF(AQ26&gt;=MEDIAN(AQ$6:AQ$39),"Easy but small","Deprioritise")),"")</f>
        <v>Big but hard</v>
      </c>
    </row>
    <row r="27" customFormat="false" ht="15" hidden="false" customHeight="false" outlineLevel="0" collapsed="false">
      <c r="A27" s="34" t="str">
        <f aca="false">Data!A27</f>
        <v>Mauritius</v>
      </c>
      <c r="B27" s="34" t="str">
        <f aca="false">Data!B27</f>
        <v>MUS</v>
      </c>
      <c r="C27" s="35" t="n">
        <f aca="false">Data!AB27</f>
        <v>0</v>
      </c>
      <c r="D27" s="32" t="n">
        <f aca="false">LN(MAX(Pools!R27,0.000001))</f>
        <v>-1.539584952921</v>
      </c>
      <c r="E27" s="36" t="n">
        <f aca="false">Pools!U27</f>
        <v>0.158099010722839</v>
      </c>
      <c r="F27" s="11" t="n">
        <f aca="false">IF(Data!H27="","",MAX(0,(Inputs!$D$67-Data!H27)*100))</f>
        <v>5.8674236476465</v>
      </c>
      <c r="G27" s="11" t="n">
        <f aca="false">IF(COUNT(Data!T27,Data!U27)=0,"",AVERAGE(Data!T27,Data!U27))</f>
        <v>6.65176834794242</v>
      </c>
      <c r="H27" s="11" t="n">
        <f aca="false">IF(Data!O27="","",MIN(Inputs!$D$60,Data!O27))</f>
        <v>1.92042789803528</v>
      </c>
      <c r="I27" s="11" t="n">
        <f aca="false">IF(Data!I27="","",(Data!E27-Data!I27)*100)</f>
        <v>4.50013002777452</v>
      </c>
      <c r="J27" s="11" t="n">
        <f aca="false">IF(F27="",MEDIAN(F$6:F$39),F27)</f>
        <v>5.8674236476465</v>
      </c>
      <c r="K27" s="11" t="n">
        <f aca="false">IF(G27="",MEDIAN(G$6:G$39),G27)</f>
        <v>6.65176834794242</v>
      </c>
      <c r="L27" s="11" t="n">
        <f aca="false">IF(H27="",MEDIAN(H$6:H$39),H27)</f>
        <v>1.92042789803528</v>
      </c>
      <c r="M27" s="11" t="n">
        <f aca="false">IF(I27="",MEDIAN(I$6:I$39),I27)</f>
        <v>4.50013002777452</v>
      </c>
      <c r="N27" s="11" t="n">
        <f aca="false">IF(Data!L27="",MIN(Inputs!$D$59,MEDIAN(Data!$L$6:$L$39)),MIN(Inputs!$D$59,Data!L27))</f>
        <v>120</v>
      </c>
      <c r="O27" s="11" t="n">
        <f aca="false">IF(Data!M27="",MEDIAN(Data!$M$6:$M$39),Data!M27)</f>
        <v>73.30793533</v>
      </c>
      <c r="P27" s="11" t="n">
        <f aca="false">IF(Data!N27="",MEDIAN(Data!$N$6:$N$39),Data!N27)</f>
        <v>100</v>
      </c>
      <c r="Q27" s="11" t="n">
        <f aca="false">IF(Data!K27="",MEDIAN(Data!$K$6:$K$39),Data!K27)</f>
        <v>39.0162147027917</v>
      </c>
      <c r="R27" s="11" t="n">
        <f aca="false">IF(Data!Q27="",MIN(Inputs!$D$61,MEDIAN(Data!$Q$6:$Q$39)),MIN(Inputs!$D$61,Data!Q27))</f>
        <v>7.14375188243895</v>
      </c>
      <c r="S27" s="11" t="n">
        <f aca="false">IF(Data!R27="",MAX(Inputs!$D$63,MIN(Inputs!$D$62,MEDIAN(Data!$R$6:$R$39))),MAX(Inputs!$D$63,MIN(Inputs!$D$62,Data!R27)))</f>
        <v>3.57677396176953</v>
      </c>
      <c r="T27" s="11" t="n">
        <f aca="false">IF(Data!S27="",MEDIAN(Data!$S$6:$S$39),Data!S27)</f>
        <v>5.99668935062829</v>
      </c>
      <c r="U27" s="39" t="n">
        <f aca="false">Pools!E27</f>
        <v>0.113027261014635</v>
      </c>
      <c r="V27" s="40" t="n">
        <f aca="false">Data!W27</f>
        <v>20</v>
      </c>
      <c r="W27" s="40" t="n">
        <f aca="false">Data!X27</f>
        <v>100</v>
      </c>
      <c r="X27" s="11" t="str">
        <f aca="false">IF($C27=1,100*(D27-_xlfn.MINIFS(D$6:D$39,$C$6:$C$39,1))/(_xlfn.MAXIFS(D$6:D$39,$C$6:$C$39,1)-_xlfn.MINIFS(D$6:D$39,$C$6:$C$39,1)),"")</f>
        <v/>
      </c>
      <c r="Y27" s="11" t="str">
        <f aca="false">IF($C27=1,100*(E27-_xlfn.MINIFS(E$6:E$39,$C$6:$C$39,1))/(_xlfn.MAXIFS(E$6:E$39,$C$6:$C$39,1)-_xlfn.MINIFS(E$6:E$39,$C$6:$C$39,1)),"")</f>
        <v/>
      </c>
      <c r="Z27" s="11" t="str">
        <f aca="false">IF($C27=1,100*(J27-_xlfn.MINIFS(J$6:J$39,$C$6:$C$39,1))/(_xlfn.MAXIFS(J$6:J$39,$C$6:$C$39,1)-_xlfn.MINIFS(J$6:J$39,$C$6:$C$39,1)),"")</f>
        <v/>
      </c>
      <c r="AA27" s="11" t="str">
        <f aca="false">IF($C27=1,100*(L27-_xlfn.MINIFS(L$6:L$39,$C$6:$C$39,1))/(_xlfn.MAXIFS(L$6:L$39,$C$6:$C$39,1)-_xlfn.MINIFS(L$6:L$39,$C$6:$C$39,1)),"")</f>
        <v/>
      </c>
      <c r="AB27" s="11" t="str">
        <f aca="false">IF($C27=1,100*(K27-_xlfn.MINIFS(K$6:K$39,$C$6:$C$39,1))/(_xlfn.MAXIFS(K$6:K$39,$C$6:$C$39,1)-_xlfn.MINIFS(K$6:K$39,$C$6:$C$39,1)),"")</f>
        <v/>
      </c>
      <c r="AC27" s="15" t="str">
        <f aca="false">IF($C27=1,Inputs!$D$46*X27+Inputs!$D$47*Y27+Inputs!$D$48*Z27+Inputs!$D$49*AA27+Inputs!$D$50*AB27,"")</f>
        <v/>
      </c>
      <c r="AD27" s="11" t="str">
        <f aca="false">IF($C27=1,100*(N27-_xlfn.MINIFS(N$6:N$39,$C$6:$C$39,1))/(_xlfn.MAXIFS(N$6:N$39,$C$6:$C$39,1)-_xlfn.MINIFS(N$6:N$39,$C$6:$C$39,1)),"")</f>
        <v/>
      </c>
      <c r="AE27" s="11" t="str">
        <f aca="false">IF($C27=1,100*(O27-_xlfn.MINIFS(O$6:O$39,$C$6:$C$39,1))/(_xlfn.MAXIFS(O$6:O$39,$C$6:$C$39,1)-_xlfn.MINIFS(O$6:O$39,$C$6:$C$39,1)),"")</f>
        <v/>
      </c>
      <c r="AF27" s="11" t="str">
        <f aca="false">IF($C27=1,100*(P27-_xlfn.MINIFS(P$6:P$39,$C$6:$C$39,1))/(_xlfn.MAXIFS(P$6:P$39,$C$6:$C$39,1)-_xlfn.MINIFS(P$6:P$39,$C$6:$C$39,1)),"")</f>
        <v/>
      </c>
      <c r="AG27" s="11" t="str">
        <f aca="false">IF($C27=1,100*(Q27-_xlfn.MINIFS(Q$6:Q$39,$C$6:$C$39,1))/(_xlfn.MAXIFS(Q$6:Q$39,$C$6:$C$39,1)-_xlfn.MINIFS(Q$6:Q$39,$C$6:$C$39,1)),"")</f>
        <v/>
      </c>
      <c r="AH27" s="11" t="str">
        <f aca="false">IF($C27=1,AVERAGE(AD27:AG27),"")</f>
        <v/>
      </c>
      <c r="AI27" s="11" t="str">
        <f aca="false">IF($C27=1,100*(_xlfn.MAXIFS(R$6:R$39,$C$6:$C$39,1)-R27)/(_xlfn.MAXIFS(R$6:R$39,$C$6:$C$39,1)-_xlfn.MINIFS(R$6:R$39,$C$6:$C$39,1)),"")</f>
        <v/>
      </c>
      <c r="AJ27" s="11" t="str">
        <f aca="false">IF($C27=1,100*(_xlfn.MAXIFS(S$6:S$39,$C$6:$C$39,1)-S27)/(_xlfn.MAXIFS(S$6:S$39,$C$6:$C$39,1)-_xlfn.MINIFS(S$6:S$39,$C$6:$C$39,1)),"")</f>
        <v/>
      </c>
      <c r="AK27" s="11" t="str">
        <f aca="false">IF($C27=1,100*(T27-_xlfn.MINIFS(T$6:T$39,$C$6:$C$39,1))/(_xlfn.MAXIFS(T$6:T$39,$C$6:$C$39,1)-_xlfn.MINIFS(T$6:T$39,$C$6:$C$39,1)),"")</f>
        <v/>
      </c>
      <c r="AL27" s="11" t="str">
        <f aca="false">IF($C27=1,AVERAGE(AI27:AK27),"")</f>
        <v/>
      </c>
      <c r="AM27" s="11" t="str">
        <f aca="false">IF($C27=1,100*(U27-_xlfn.MINIFS(U$6:U$39,$C$6:$C$39,1))/(_xlfn.MAXIFS(U$6:U$39,$C$6:$C$39,1)-_xlfn.MINIFS(U$6:U$39,$C$6:$C$39,1)),"")</f>
        <v/>
      </c>
      <c r="AN27" s="11" t="str">
        <f aca="false">IF($C27=1,100*(V27-_xlfn.MINIFS(V$6:V$39,$C$6:$C$39,1))/(_xlfn.MAXIFS(V$6:V$39,$C$6:$C$39,1)-_xlfn.MINIFS(V$6:V$39,$C$6:$C$39,1)),"")</f>
        <v/>
      </c>
      <c r="AO27" s="11" t="str">
        <f aca="false">IF($C27=1,100*(M27-_xlfn.MINIFS(M$6:M$39,$C$6:$C$39,1))/(_xlfn.MAXIFS(M$6:M$39,$C$6:$C$39,1)-_xlfn.MINIFS(M$6:M$39,$C$6:$C$39,1)),"")</f>
        <v/>
      </c>
      <c r="AP27" s="11" t="str">
        <f aca="false">IF($C27=1,W27,"")</f>
        <v/>
      </c>
      <c r="AQ27" s="15" t="str">
        <f aca="false">IF($C27=1,Inputs!$D$52*AH27+Inputs!$D$53*AL27+Inputs!$D$54*AM27+Inputs!$D$55*AN27+Inputs!$D$56*AO27+Inputs!$D$57*AP27,"")</f>
        <v/>
      </c>
      <c r="AR27" s="12" t="str">
        <f aca="false">IF($C27=1,SQRT(AC27*AQ27),"")</f>
        <v/>
      </c>
      <c r="AS27" s="41" t="str">
        <f aca="false">IF($C27=1,COUNTIFS($C$6:$C$39,1,$AR$6:$AR$39,"&gt;"&amp;AR27)+1,"")</f>
        <v/>
      </c>
      <c r="AT27" s="13" t="str">
        <f aca="false">IF($C27=1,Inputs!$D$38+Inputs!$D$39*(1-AL27/100)+Inputs!$D$40*(1-AP27/100),"")</f>
        <v/>
      </c>
      <c r="AU27" s="5" t="str">
        <f aca="false">IF($C27=1,IF(AC27&gt;=MEDIAN(AC$6:AC$39),IF(AQ27&gt;=MEDIAN(AQ$6:AQ$39),"Prioritise","Big but hard"),IF(AQ27&gt;=MEDIAN(AQ$6:AQ$39),"Easy but small","Deprioritise")),"")</f>
        <v/>
      </c>
    </row>
    <row r="28" customFormat="false" ht="15" hidden="false" customHeight="false" outlineLevel="0" collapsed="false">
      <c r="A28" s="34" t="str">
        <f aca="false">Data!A28</f>
        <v>Mozambique</v>
      </c>
      <c r="B28" s="34" t="str">
        <f aca="false">Data!B28</f>
        <v>MOZ</v>
      </c>
      <c r="C28" s="35" t="n">
        <f aca="false">Data!AB28</f>
        <v>1</v>
      </c>
      <c r="D28" s="32" t="n">
        <f aca="false">LN(MAX(Pools!R28,0.000001))</f>
        <v>2.73370524629583</v>
      </c>
      <c r="E28" s="36" t="n">
        <f aca="false">Pools!U28</f>
        <v>0.107821390204392</v>
      </c>
      <c r="F28" s="11" t="n">
        <f aca="false">IF(Data!H28="","",MAX(0,(Inputs!$D$67-Data!H28)*100))</f>
        <v>37.2826519008286</v>
      </c>
      <c r="G28" s="11" t="n">
        <f aca="false">IF(COUNT(Data!T28,Data!U28)=0,"",AVERAGE(Data!T28,Data!U28))</f>
        <v>22.8474372134829</v>
      </c>
      <c r="H28" s="11" t="n">
        <f aca="false">IF(Data!O28="","",MIN(Inputs!$D$60,Data!O28))</f>
        <v>1.17313632356755</v>
      </c>
      <c r="I28" s="11" t="n">
        <f aca="false">IF(Data!I28="","",(Data!E28-Data!I28)*100)</f>
        <v>23.8541652155927</v>
      </c>
      <c r="J28" s="11" t="n">
        <f aca="false">IF(F28="",MEDIAN(F$6:F$39),F28)</f>
        <v>37.2826519008286</v>
      </c>
      <c r="K28" s="11" t="n">
        <f aca="false">IF(G28="",MEDIAN(G$6:G$39),G28)</f>
        <v>22.8474372134829</v>
      </c>
      <c r="L28" s="11" t="n">
        <f aca="false">IF(H28="",MEDIAN(H$6:H$39),H28)</f>
        <v>1.17313632356755</v>
      </c>
      <c r="M28" s="11" t="n">
        <f aca="false">IF(I28="",MEDIAN(I$6:I$39),I28)</f>
        <v>23.8541652155927</v>
      </c>
      <c r="N28" s="11" t="n">
        <f aca="false">IF(Data!L28="",MIN(Inputs!$D$59,MEDIAN(Data!$L$6:$L$39)),MIN(Inputs!$D$59,Data!L28))</f>
        <v>49.5047696961223</v>
      </c>
      <c r="O28" s="11" t="n">
        <f aca="false">IF(Data!M28="",MEDIAN(Data!$M$6:$M$39),Data!M28)</f>
        <v>20.52729988</v>
      </c>
      <c r="P28" s="11" t="n">
        <f aca="false">IF(Data!N28="",MEDIAN(Data!$N$6:$N$39),Data!N28)</f>
        <v>36.9</v>
      </c>
      <c r="Q28" s="11" t="n">
        <f aca="false">IF(Data!K28="",MEDIAN(Data!$K$6:$K$39),Data!K28)</f>
        <v>36.4332337447237</v>
      </c>
      <c r="R28" s="11" t="n">
        <f aca="false">IF(Data!Q28="",MIN(Inputs!$D$61,MEDIAN(Data!$Q$6:$Q$39)),MIN(Inputs!$D$61,Data!Q28))</f>
        <v>7.16164832626024</v>
      </c>
      <c r="S28" s="11" t="n">
        <f aca="false">IF(Data!R28="",MAX(Inputs!$D$63,MIN(Inputs!$D$62,MEDIAN(Data!$R$6:$R$39))),MAX(Inputs!$D$63,MIN(Inputs!$D$62,Data!R28)))</f>
        <v>-0.803934769867946</v>
      </c>
      <c r="T28" s="11" t="n">
        <f aca="false">IF(Data!S28="",MEDIAN(Data!$S$6:$S$39),Data!S28)</f>
        <v>4.00735919241212</v>
      </c>
      <c r="U28" s="39" t="n">
        <f aca="false">Pools!E28</f>
        <v>0.840686664927574</v>
      </c>
      <c r="V28" s="40" t="n">
        <f aca="false">Data!W28</f>
        <v>60</v>
      </c>
      <c r="W28" s="40" t="n">
        <f aca="false">Data!X28</f>
        <v>0</v>
      </c>
      <c r="X28" s="11" t="n">
        <f aca="false">IF($C28=1,100*(D28-_xlfn.MINIFS(D$6:D$39,$C$6:$C$39,1))/(_xlfn.MAXIFS(D$6:D$39,$C$6:$C$39,1)-_xlfn.MINIFS(D$6:D$39,$C$6:$C$39,1)),"")</f>
        <v>52.6712000414841</v>
      </c>
      <c r="Y28" s="11" t="n">
        <f aca="false">IF($C28=1,100*(E28-_xlfn.MINIFS(E$6:E$39,$C$6:$C$39,1))/(_xlfn.MAXIFS(E$6:E$39,$C$6:$C$39,1)-_xlfn.MINIFS(E$6:E$39,$C$6:$C$39,1)),"")</f>
        <v>37.1381379642561</v>
      </c>
      <c r="Z28" s="11" t="n">
        <f aca="false">IF($C28=1,100*(J28-_xlfn.MINIFS(J$6:J$39,$C$6:$C$39,1))/(_xlfn.MAXIFS(J$6:J$39,$C$6:$C$39,1)-_xlfn.MINIFS(J$6:J$39,$C$6:$C$39,1)),"")</f>
        <v>63.9240753458082</v>
      </c>
      <c r="AA28" s="11" t="n">
        <f aca="false">IF($C28=1,100*(L28-_xlfn.MINIFS(L$6:L$39,$C$6:$C$39,1))/(_xlfn.MAXIFS(L$6:L$39,$C$6:$C$39,1)-_xlfn.MINIFS(L$6:L$39,$C$6:$C$39,1)),"")</f>
        <v>6.49163575734554</v>
      </c>
      <c r="AB28" s="11" t="n">
        <f aca="false">IF($C28=1,100*(K28-_xlfn.MINIFS(K$6:K$39,$C$6:$C$39,1))/(_xlfn.MAXIFS(K$6:K$39,$C$6:$C$39,1)-_xlfn.MINIFS(K$6:K$39,$C$6:$C$39,1)),"")</f>
        <v>89.4707770594189</v>
      </c>
      <c r="AC28" s="15" t="n">
        <f aca="false">IF($C28=1,Inputs!$D$46*X28+Inputs!$D$47*Y28+Inputs!$D$48*Z28+Inputs!$D$49*AA28+Inputs!$D$50*AB28,"")</f>
        <v>49.8455208317566</v>
      </c>
      <c r="AD28" s="11" t="n">
        <f aca="false">IF($C28=1,100*(N28-_xlfn.MINIFS(N$6:N$39,$C$6:$C$39,1))/(_xlfn.MAXIFS(N$6:N$39,$C$6:$C$39,1)-_xlfn.MINIFS(N$6:N$39,$C$6:$C$39,1)),"")</f>
        <v>19.8335824190122</v>
      </c>
      <c r="AE28" s="11" t="n">
        <f aca="false">IF($C28=1,100*(O28-_xlfn.MINIFS(O$6:O$39,$C$6:$C$39,1))/(_xlfn.MAXIFS(O$6:O$39,$C$6:$C$39,1)-_xlfn.MINIFS(O$6:O$39,$C$6:$C$39,1)),"")</f>
        <v>16.6803650917013</v>
      </c>
      <c r="AF28" s="11" t="n">
        <f aca="false">IF($C28=1,100*(P28-_xlfn.MINIFS(P$6:P$39,$C$6:$C$39,1))/(_xlfn.MAXIFS(P$6:P$39,$C$6:$C$39,1)-_xlfn.MINIFS(P$6:P$39,$C$6:$C$39,1)),"")</f>
        <v>29.9363057324841</v>
      </c>
      <c r="AG28" s="11" t="n">
        <f aca="false">IF($C28=1,100*(Q28-_xlfn.MINIFS(Q$6:Q$39,$C$6:$C$39,1))/(_xlfn.MAXIFS(Q$6:Q$39,$C$6:$C$39,1)-_xlfn.MINIFS(Q$6:Q$39,$C$6:$C$39,1)),"")</f>
        <v>41.1100561224182</v>
      </c>
      <c r="AH28" s="11" t="n">
        <f aca="false">IF($C28=1,AVERAGE(AD28:AG28),"")</f>
        <v>26.8900773414039</v>
      </c>
      <c r="AI28" s="11" t="n">
        <f aca="false">IF($C28=1,100*(_xlfn.MAXIFS(R$6:R$39,$C$6:$C$39,1)-R28)/(_xlfn.MAXIFS(R$6:R$39,$C$6:$C$39,1)-_xlfn.MINIFS(R$6:R$39,$C$6:$C$39,1)),"")</f>
        <v>85.8522067858978</v>
      </c>
      <c r="AJ28" s="11" t="n">
        <f aca="false">IF($C28=1,100*(_xlfn.MAXIFS(S$6:S$39,$C$6:$C$39,1)-S28)/(_xlfn.MAXIFS(S$6:S$39,$C$6:$C$39,1)-_xlfn.MINIFS(S$6:S$39,$C$6:$C$39,1)),"")</f>
        <v>100</v>
      </c>
      <c r="AK28" s="11" t="n">
        <f aca="false">IF($C28=1,100*(T28-_xlfn.MINIFS(T$6:T$39,$C$6:$C$39,1))/(_xlfn.MAXIFS(T$6:T$39,$C$6:$C$39,1)-_xlfn.MINIFS(T$6:T$39,$C$6:$C$39,1)),"")</f>
        <v>41.9649076640799</v>
      </c>
      <c r="AL28" s="11" t="n">
        <f aca="false">IF($C28=1,AVERAGE(AI28:AK28),"")</f>
        <v>75.9390381499926</v>
      </c>
      <c r="AM28" s="11" t="n">
        <f aca="false">IF($C28=1,100*(U28-_xlfn.MINIFS(U$6:U$39,$C$6:$C$39,1))/(_xlfn.MAXIFS(U$6:U$39,$C$6:$C$39,1)-_xlfn.MINIFS(U$6:U$39,$C$6:$C$39,1)),"")</f>
        <v>84.0425892757132</v>
      </c>
      <c r="AN28" s="11" t="n">
        <f aca="false">IF($C28=1,100*(V28-_xlfn.MINIFS(V$6:V$39,$C$6:$C$39,1))/(_xlfn.MAXIFS(V$6:V$39,$C$6:$C$39,1)-_xlfn.MINIFS(V$6:V$39,$C$6:$C$39,1)),"")</f>
        <v>50</v>
      </c>
      <c r="AO28" s="11" t="n">
        <f aca="false">IF($C28=1,100*(M28-_xlfn.MINIFS(M$6:M$39,$C$6:$C$39,1))/(_xlfn.MAXIFS(M$6:M$39,$C$6:$C$39,1)-_xlfn.MINIFS(M$6:M$39,$C$6:$C$39,1)),"")</f>
        <v>57.5138438752475</v>
      </c>
      <c r="AP28" s="11" t="n">
        <f aca="false">IF($C28=1,W28,"")</f>
        <v>0</v>
      </c>
      <c r="AQ28" s="15" t="n">
        <f aca="false">IF($C28=1,Inputs!$D$52*AH28+Inputs!$D$53*AL28+Inputs!$D$54*AM28+Inputs!$D$55*AN28+Inputs!$D$56*AO28+Inputs!$D$57*AP28,"")</f>
        <v>46.423595877161</v>
      </c>
      <c r="AR28" s="12" t="n">
        <f aca="false">IF($C28=1,SQRT(AC28*AQ28),"")</f>
        <v>48.104140314323</v>
      </c>
      <c r="AS28" s="41" t="n">
        <f aca="false">IF($C28=1,COUNTIFS($C$6:$C$39,1,$AR$6:$AR$39,"&gt;"&amp;AR28)+1,"")</f>
        <v>16</v>
      </c>
      <c r="AT28" s="13" t="n">
        <f aca="false">IF($C28=1,Inputs!$D$38+Inputs!$D$39*(1-AL28/100)+Inputs!$D$40*(1-AP28/100),"")</f>
        <v>0.169624384740003</v>
      </c>
      <c r="AU28" s="5" t="str">
        <f aca="false">IF($C28=1,IF(AC28&gt;=MEDIAN(AC$6:AC$39),IF(AQ28&gt;=MEDIAN(AQ$6:AQ$39),"Prioritise","Big but hard"),IF(AQ28&gt;=MEDIAN(AQ$6:AQ$39),"Easy but small","Deprioritise")),"")</f>
        <v>Big but hard</v>
      </c>
    </row>
    <row r="29" customFormat="false" ht="15" hidden="false" customHeight="false" outlineLevel="0" collapsed="false">
      <c r="A29" s="34" t="str">
        <f aca="false">Data!A29</f>
        <v>Namibia</v>
      </c>
      <c r="B29" s="34" t="str">
        <f aca="false">Data!B29</f>
        <v>NAM</v>
      </c>
      <c r="C29" s="35" t="n">
        <f aca="false">Data!AB29</f>
        <v>0</v>
      </c>
      <c r="D29" s="32" t="n">
        <f aca="false">LN(MAX(Pools!R29,0.000001))</f>
        <v>0.82959133694128</v>
      </c>
      <c r="E29" s="36" t="n">
        <f aca="false">Pools!U29</f>
        <v>0.0954375414553634</v>
      </c>
      <c r="F29" s="11" t="n">
        <f aca="false">IF(Data!H29="","",MAX(0,(Inputs!$D$67-Data!H29)*100))</f>
        <v>17.1847383678227</v>
      </c>
      <c r="G29" s="11" t="n">
        <f aca="false">IF(COUNT(Data!T29,Data!U29)=0,"",AVERAGE(Data!T29,Data!U29))</f>
        <v>11.202719434735</v>
      </c>
      <c r="H29" s="11" t="n">
        <f aca="false">IF(Data!O29="","",MIN(Inputs!$D$60,Data!O29))</f>
        <v>0.707386765887929</v>
      </c>
      <c r="I29" s="11" t="n">
        <f aca="false">IF(Data!I29="","",(Data!E29-Data!I29)*100)</f>
        <v>5.0178884042425</v>
      </c>
      <c r="J29" s="11" t="n">
        <f aca="false">IF(F29="",MEDIAN(F$6:F$39),F29)</f>
        <v>17.1847383678227</v>
      </c>
      <c r="K29" s="11" t="n">
        <f aca="false">IF(G29="",MEDIAN(G$6:G$39),G29)</f>
        <v>11.202719434735</v>
      </c>
      <c r="L29" s="11" t="n">
        <f aca="false">IF(H29="",MEDIAN(H$6:H$39),H29)</f>
        <v>0.707386765887929</v>
      </c>
      <c r="M29" s="11" t="n">
        <f aca="false">IF(I29="",MEDIAN(I$6:I$39),I29)</f>
        <v>5.0178884042425</v>
      </c>
      <c r="N29" s="11" t="n">
        <f aca="false">IF(Data!L29="",MIN(Inputs!$D$59,MEDIAN(Data!$L$6:$L$39)),MIN(Inputs!$D$59,Data!L29))</f>
        <v>85.1648988113055</v>
      </c>
      <c r="O29" s="11" t="n">
        <f aca="false">IF(Data!M29="",MEDIAN(Data!$M$6:$M$39),Data!M29)</f>
        <v>64.87460327</v>
      </c>
      <c r="P29" s="11" t="n">
        <f aca="false">IF(Data!N29="",MEDIAN(Data!$N$6:$N$39),Data!N29)</f>
        <v>59.3</v>
      </c>
      <c r="Q29" s="11" t="n">
        <f aca="false">IF(Data!K29="",MEDIAN(Data!$K$6:$K$39),Data!K29)</f>
        <v>50.4088030252155</v>
      </c>
      <c r="R29" s="11" t="n">
        <f aca="false">IF(Data!Q29="",MIN(Inputs!$D$61,MEDIAN(Data!$Q$6:$Q$39)),MIN(Inputs!$D$61,Data!Q29))</f>
        <v>5.40008500091241</v>
      </c>
      <c r="S29" s="11" t="n">
        <f aca="false">IF(Data!R29="",MAX(Inputs!$D$63,MIN(Inputs!$D$62,MEDIAN(Data!$R$6:$R$39))),MAX(Inputs!$D$63,MIN(Inputs!$D$62,Data!R29)))</f>
        <v>7.17602002393735</v>
      </c>
      <c r="T29" s="11" t="n">
        <f aca="false">IF(Data!S29="",MEDIAN(Data!$S$6:$S$39),Data!S29)</f>
        <v>4.50074083390312</v>
      </c>
      <c r="U29" s="39" t="n">
        <f aca="false">Pools!E29</f>
        <v>0.664401770156555</v>
      </c>
      <c r="V29" s="40" t="n">
        <f aca="false">Data!W29</f>
        <v>20</v>
      </c>
      <c r="W29" s="40" t="n">
        <f aca="false">Data!X29</f>
        <v>100</v>
      </c>
      <c r="X29" s="11" t="str">
        <f aca="false">IF($C29=1,100*(D29-_xlfn.MINIFS(D$6:D$39,$C$6:$C$39,1))/(_xlfn.MAXIFS(D$6:D$39,$C$6:$C$39,1)-_xlfn.MINIFS(D$6:D$39,$C$6:$C$39,1)),"")</f>
        <v/>
      </c>
      <c r="Y29" s="11" t="str">
        <f aca="false">IF($C29=1,100*(E29-_xlfn.MINIFS(E$6:E$39,$C$6:$C$39,1))/(_xlfn.MAXIFS(E$6:E$39,$C$6:$C$39,1)-_xlfn.MINIFS(E$6:E$39,$C$6:$C$39,1)),"")</f>
        <v/>
      </c>
      <c r="Z29" s="11" t="str">
        <f aca="false">IF($C29=1,100*(J29-_xlfn.MINIFS(J$6:J$39,$C$6:$C$39,1))/(_xlfn.MAXIFS(J$6:J$39,$C$6:$C$39,1)-_xlfn.MINIFS(J$6:J$39,$C$6:$C$39,1)),"")</f>
        <v/>
      </c>
      <c r="AA29" s="11" t="str">
        <f aca="false">IF($C29=1,100*(L29-_xlfn.MINIFS(L$6:L$39,$C$6:$C$39,1))/(_xlfn.MAXIFS(L$6:L$39,$C$6:$C$39,1)-_xlfn.MINIFS(L$6:L$39,$C$6:$C$39,1)),"")</f>
        <v/>
      </c>
      <c r="AB29" s="11" t="str">
        <f aca="false">IF($C29=1,100*(K29-_xlfn.MINIFS(K$6:K$39,$C$6:$C$39,1))/(_xlfn.MAXIFS(K$6:K$39,$C$6:$C$39,1)-_xlfn.MINIFS(K$6:K$39,$C$6:$C$39,1)),"")</f>
        <v/>
      </c>
      <c r="AC29" s="15" t="str">
        <f aca="false">IF($C29=1,Inputs!$D$46*X29+Inputs!$D$47*Y29+Inputs!$D$48*Z29+Inputs!$D$49*AA29+Inputs!$D$50*AB29,"")</f>
        <v/>
      </c>
      <c r="AD29" s="11" t="str">
        <f aca="false">IF($C29=1,100*(N29-_xlfn.MINIFS(N$6:N$39,$C$6:$C$39,1))/(_xlfn.MAXIFS(N$6:N$39,$C$6:$C$39,1)-_xlfn.MINIFS(N$6:N$39,$C$6:$C$39,1)),"")</f>
        <v/>
      </c>
      <c r="AE29" s="11" t="str">
        <f aca="false">IF($C29=1,100*(O29-_xlfn.MINIFS(O$6:O$39,$C$6:$C$39,1))/(_xlfn.MAXIFS(O$6:O$39,$C$6:$C$39,1)-_xlfn.MINIFS(O$6:O$39,$C$6:$C$39,1)),"")</f>
        <v/>
      </c>
      <c r="AF29" s="11" t="str">
        <f aca="false">IF($C29=1,100*(P29-_xlfn.MINIFS(P$6:P$39,$C$6:$C$39,1))/(_xlfn.MAXIFS(P$6:P$39,$C$6:$C$39,1)-_xlfn.MINIFS(P$6:P$39,$C$6:$C$39,1)),"")</f>
        <v/>
      </c>
      <c r="AG29" s="11" t="str">
        <f aca="false">IF($C29=1,100*(Q29-_xlfn.MINIFS(Q$6:Q$39,$C$6:$C$39,1))/(_xlfn.MAXIFS(Q$6:Q$39,$C$6:$C$39,1)-_xlfn.MINIFS(Q$6:Q$39,$C$6:$C$39,1)),"")</f>
        <v/>
      </c>
      <c r="AH29" s="11" t="str">
        <f aca="false">IF($C29=1,AVERAGE(AD29:AG29),"")</f>
        <v/>
      </c>
      <c r="AI29" s="11" t="str">
        <f aca="false">IF($C29=1,100*(_xlfn.MAXIFS(R$6:R$39,$C$6:$C$39,1)-R29)/(_xlfn.MAXIFS(R$6:R$39,$C$6:$C$39,1)-_xlfn.MINIFS(R$6:R$39,$C$6:$C$39,1)),"")</f>
        <v/>
      </c>
      <c r="AJ29" s="11" t="str">
        <f aca="false">IF($C29=1,100*(_xlfn.MAXIFS(S$6:S$39,$C$6:$C$39,1)-S29)/(_xlfn.MAXIFS(S$6:S$39,$C$6:$C$39,1)-_xlfn.MINIFS(S$6:S$39,$C$6:$C$39,1)),"")</f>
        <v/>
      </c>
      <c r="AK29" s="11" t="str">
        <f aca="false">IF($C29=1,100*(T29-_xlfn.MINIFS(T$6:T$39,$C$6:$C$39,1))/(_xlfn.MAXIFS(T$6:T$39,$C$6:$C$39,1)-_xlfn.MINIFS(T$6:T$39,$C$6:$C$39,1)),"")</f>
        <v/>
      </c>
      <c r="AL29" s="11" t="str">
        <f aca="false">IF($C29=1,AVERAGE(AI29:AK29),"")</f>
        <v/>
      </c>
      <c r="AM29" s="11" t="str">
        <f aca="false">IF($C29=1,100*(U29-_xlfn.MINIFS(U$6:U$39,$C$6:$C$39,1))/(_xlfn.MAXIFS(U$6:U$39,$C$6:$C$39,1)-_xlfn.MINIFS(U$6:U$39,$C$6:$C$39,1)),"")</f>
        <v/>
      </c>
      <c r="AN29" s="11" t="str">
        <f aca="false">IF($C29=1,100*(V29-_xlfn.MINIFS(V$6:V$39,$C$6:$C$39,1))/(_xlfn.MAXIFS(V$6:V$39,$C$6:$C$39,1)-_xlfn.MINIFS(V$6:V$39,$C$6:$C$39,1)),"")</f>
        <v/>
      </c>
      <c r="AO29" s="11" t="str">
        <f aca="false">IF($C29=1,100*(M29-_xlfn.MINIFS(M$6:M$39,$C$6:$C$39,1))/(_xlfn.MAXIFS(M$6:M$39,$C$6:$C$39,1)-_xlfn.MINIFS(M$6:M$39,$C$6:$C$39,1)),"")</f>
        <v/>
      </c>
      <c r="AP29" s="11" t="str">
        <f aca="false">IF($C29=1,W29,"")</f>
        <v/>
      </c>
      <c r="AQ29" s="15" t="str">
        <f aca="false">IF($C29=1,Inputs!$D$52*AH29+Inputs!$D$53*AL29+Inputs!$D$54*AM29+Inputs!$D$55*AN29+Inputs!$D$56*AO29+Inputs!$D$57*AP29,"")</f>
        <v/>
      </c>
      <c r="AR29" s="12" t="str">
        <f aca="false">IF($C29=1,SQRT(AC29*AQ29),"")</f>
        <v/>
      </c>
      <c r="AS29" s="41" t="str">
        <f aca="false">IF($C29=1,COUNTIFS($C$6:$C$39,1,$AR$6:$AR$39,"&gt;"&amp;AR29)+1,"")</f>
        <v/>
      </c>
      <c r="AT29" s="13" t="str">
        <f aca="false">IF($C29=1,Inputs!$D$38+Inputs!$D$39*(1-AL29/100)+Inputs!$D$40*(1-AP29/100),"")</f>
        <v/>
      </c>
      <c r="AU29" s="5" t="str">
        <f aca="false">IF($C29=1,IF(AC29&gt;=MEDIAN(AC$6:AC$39),IF(AQ29&gt;=MEDIAN(AQ$6:AQ$39),"Prioritise","Big but hard"),IF(AQ29&gt;=MEDIAN(AQ$6:AQ$39),"Easy but small","Deprioritise")),"")</f>
        <v/>
      </c>
    </row>
    <row r="30" customFormat="false" ht="15" hidden="false" customHeight="false" outlineLevel="0" collapsed="false">
      <c r="A30" s="34" t="str">
        <f aca="false">Data!A30</f>
        <v>Niger</v>
      </c>
      <c r="B30" s="34" t="str">
        <f aca="false">Data!B30</f>
        <v>NER</v>
      </c>
      <c r="C30" s="35" t="n">
        <f aca="false">Data!AB30</f>
        <v>1</v>
      </c>
      <c r="D30" s="32" t="n">
        <f aca="false">LN(MAX(Pools!R30,0.000001))</f>
        <v>0.547863779500949</v>
      </c>
      <c r="E30" s="36" t="n">
        <f aca="false">Pools!U30</f>
        <v>0.213708646057192</v>
      </c>
      <c r="F30" s="11" t="n">
        <f aca="false">IF(Data!H30="","",MAX(0,(Inputs!$D$67-Data!H30)*100))</f>
        <v>53.3313095844282</v>
      </c>
      <c r="G30" s="11" t="str">
        <f aca="false">IF(COUNT(Data!T30,Data!U30)=0,"",AVERAGE(Data!T30,Data!U30))</f>
        <v/>
      </c>
      <c r="H30" s="11" t="n">
        <f aca="false">IF(Data!O30="","",MIN(Inputs!$D$60,Data!O30))</f>
        <v>3.29647457556865</v>
      </c>
      <c r="I30" s="11" t="n">
        <f aca="false">IF(Data!I30="","",(Data!E30-Data!I30)*100)</f>
        <v>-3.01686761931832</v>
      </c>
      <c r="J30" s="11" t="n">
        <f aca="false">IF(F30="",MEDIAN(F$6:F$39),F30)</f>
        <v>53.3313095844282</v>
      </c>
      <c r="K30" s="11" t="n">
        <f aca="false">IF(G30="",MEDIAN(G$6:G$39),G30)</f>
        <v>13.2837245668976</v>
      </c>
      <c r="L30" s="11" t="n">
        <f aca="false">IF(H30="",MEDIAN(H$6:H$39),H30)</f>
        <v>3.29647457556865</v>
      </c>
      <c r="M30" s="11" t="n">
        <f aca="false">IF(I30="",MEDIAN(I$6:I$39),I30)</f>
        <v>-3.01686761931832</v>
      </c>
      <c r="N30" s="11" t="n">
        <f aca="false">IF(Data!L30="",MIN(Inputs!$D$59,MEDIAN(Data!$L$6:$L$39)),MIN(Inputs!$D$59,Data!L30))</f>
        <v>60.5939862118112</v>
      </c>
      <c r="O30" s="11" t="n">
        <f aca="false">IF(Data!M30="",MEDIAN(Data!$M$6:$M$39),Data!M30)</f>
        <v>15.55760002</v>
      </c>
      <c r="P30" s="11" t="n">
        <f aca="false">IF(Data!N30="",MEDIAN(Data!$N$6:$N$39),Data!N30)</f>
        <v>21.3</v>
      </c>
      <c r="Q30" s="11" t="n">
        <f aca="false">IF(Data!K30="",MEDIAN(Data!$K$6:$K$39),Data!K30)</f>
        <v>18.0497398450803</v>
      </c>
      <c r="R30" s="11" t="n">
        <f aca="false">IF(Data!Q30="",MIN(Inputs!$D$61,MEDIAN(Data!$Q$6:$Q$39)),MIN(Inputs!$D$61,Data!Q30))</f>
        <v>5.66623702022413</v>
      </c>
      <c r="S30" s="11" t="n">
        <f aca="false">IF(Data!R30="",MAX(Inputs!$D$63,MIN(Inputs!$D$62,MEDIAN(Data!$R$6:$R$39))),MAX(Inputs!$D$63,MIN(Inputs!$D$62,Data!R30)))</f>
        <v>2.97758321341949</v>
      </c>
      <c r="T30" s="11" t="n">
        <f aca="false">IF(Data!S30="",MEDIAN(Data!$S$6:$S$39),Data!S30)</f>
        <v>7.72666337784132</v>
      </c>
      <c r="U30" s="39" t="n">
        <f aca="false">Pools!E30</f>
        <v>0.384461415117648</v>
      </c>
      <c r="V30" s="40" t="n">
        <f aca="false">Data!W30</f>
        <v>20</v>
      </c>
      <c r="W30" s="40" t="n">
        <f aca="false">Data!X30</f>
        <v>0</v>
      </c>
      <c r="X30" s="11" t="n">
        <f aca="false">IF($C30=1,100*(D30-_xlfn.MINIFS(D$6:D$39,$C$6:$C$39,1))/(_xlfn.MAXIFS(D$6:D$39,$C$6:$C$39,1)-_xlfn.MINIFS(D$6:D$39,$C$6:$C$39,1)),"")</f>
        <v>0</v>
      </c>
      <c r="Y30" s="11" t="n">
        <f aca="false">IF($C30=1,100*(E30-_xlfn.MINIFS(E$6:E$39,$C$6:$C$39,1))/(_xlfn.MAXIFS(E$6:E$39,$C$6:$C$39,1)-_xlfn.MINIFS(E$6:E$39,$C$6:$C$39,1)),"")</f>
        <v>100</v>
      </c>
      <c r="Z30" s="11" t="n">
        <f aca="false">IF($C30=1,100*(J30-_xlfn.MINIFS(J$6:J$39,$C$6:$C$39,1))/(_xlfn.MAXIFS(J$6:J$39,$C$6:$C$39,1)-_xlfn.MINIFS(J$6:J$39,$C$6:$C$39,1)),"")</f>
        <v>99.9830581167606</v>
      </c>
      <c r="AA30" s="11" t="n">
        <f aca="false">IF($C30=1,100*(L30-_xlfn.MINIFS(L$6:L$39,$C$6:$C$39,1))/(_xlfn.MAXIFS(L$6:L$39,$C$6:$C$39,1)-_xlfn.MINIFS(L$6:L$39,$C$6:$C$39,1)),"")</f>
        <v>20.8513554540764</v>
      </c>
      <c r="AB30" s="11" t="n">
        <f aca="false">IF($C30=1,100*(K30-_xlfn.MINIFS(K$6:K$39,$C$6:$C$39,1))/(_xlfn.MAXIFS(K$6:K$39,$C$6:$C$39,1)-_xlfn.MINIFS(K$6:K$39,$C$6:$C$39,1)),"")</f>
        <v>46.0541642719822</v>
      </c>
      <c r="AC30" s="15" t="n">
        <f aca="false">IF($C30=1,Inputs!$D$46*X30+Inputs!$D$47*Y30+Inputs!$D$48*Z30+Inputs!$D$49*AA30+Inputs!$D$50*AB30,"")</f>
        <v>45.0332866764229</v>
      </c>
      <c r="AD30" s="11" t="n">
        <f aca="false">IF($C30=1,100*(N30-_xlfn.MINIFS(N$6:N$39,$C$6:$C$39,1))/(_xlfn.MAXIFS(N$6:N$39,$C$6:$C$39,1)-_xlfn.MINIFS(N$6:N$39,$C$6:$C$39,1)),"")</f>
        <v>32.4441201534184</v>
      </c>
      <c r="AE30" s="11" t="n">
        <f aca="false">IF($C30=1,100*(O30-_xlfn.MINIFS(O$6:O$39,$C$6:$C$39,1))/(_xlfn.MAXIFS(O$6:O$39,$C$6:$C$39,1)-_xlfn.MINIFS(O$6:O$39,$C$6:$C$39,1)),"")</f>
        <v>9.52021554977951</v>
      </c>
      <c r="AF30" s="11" t="n">
        <f aca="false">IF($C30=1,100*(P30-_xlfn.MINIFS(P$6:P$39,$C$6:$C$39,1))/(_xlfn.MAXIFS(P$6:P$39,$C$6:$C$39,1)-_xlfn.MINIFS(P$6:P$39,$C$6:$C$39,1)),"")</f>
        <v>10.0636942675159</v>
      </c>
      <c r="AG30" s="11" t="n">
        <f aca="false">IF($C30=1,100*(Q30-_xlfn.MINIFS(Q$6:Q$39,$C$6:$C$39,1))/(_xlfn.MAXIFS(Q$6:Q$39,$C$6:$C$39,1)-_xlfn.MINIFS(Q$6:Q$39,$C$6:$C$39,1)),"")</f>
        <v>1.67582159258961</v>
      </c>
      <c r="AH30" s="11" t="n">
        <f aca="false">IF($C30=1,AVERAGE(AD30:AG30),"")</f>
        <v>13.4259628908259</v>
      </c>
      <c r="AI30" s="11" t="n">
        <f aca="false">IF($C30=1,100*(_xlfn.MAXIFS(R$6:R$39,$C$6:$C$39,1)-R30)/(_xlfn.MAXIFS(R$6:R$39,$C$6:$C$39,1)-_xlfn.MINIFS(R$6:R$39,$C$6:$C$39,1)),"")</f>
        <v>89.76179280749</v>
      </c>
      <c r="AJ30" s="11" t="n">
        <f aca="false">IF($C30=1,100*(_xlfn.MAXIFS(S$6:S$39,$C$6:$C$39,1)-S30)/(_xlfn.MAXIFS(S$6:S$39,$C$6:$C$39,1)-_xlfn.MINIFS(S$6:S$39,$C$6:$C$39,1)),"")</f>
        <v>90.7324673352827</v>
      </c>
      <c r="AK30" s="11" t="n">
        <f aca="false">IF($C30=1,100*(T30-_xlfn.MINIFS(T$6:T$39,$C$6:$C$39,1))/(_xlfn.MAXIFS(T$6:T$39,$C$6:$C$39,1)-_xlfn.MINIFS(T$6:T$39,$C$6:$C$39,1)),"")</f>
        <v>96.2663290850481</v>
      </c>
      <c r="AL30" s="11" t="n">
        <f aca="false">IF($C30=1,AVERAGE(AI30:AK30),"")</f>
        <v>92.253529742607</v>
      </c>
      <c r="AM30" s="11" t="n">
        <f aca="false">IF($C30=1,100*(U30-_xlfn.MINIFS(U$6:U$39,$C$6:$C$39,1))/(_xlfn.MAXIFS(U$6:U$39,$C$6:$C$39,1)-_xlfn.MINIFS(U$6:U$39,$C$6:$C$39,1)),"")</f>
        <v>24.7862496738063</v>
      </c>
      <c r="AN30" s="11" t="n">
        <f aca="false">IF($C30=1,100*(V30-_xlfn.MINIFS(V$6:V$39,$C$6:$C$39,1))/(_xlfn.MAXIFS(V$6:V$39,$C$6:$C$39,1)-_xlfn.MINIFS(V$6:V$39,$C$6:$C$39,1)),"")</f>
        <v>0</v>
      </c>
      <c r="AO30" s="11" t="n">
        <f aca="false">IF($C30=1,100*(M30-_xlfn.MINIFS(M$6:M$39,$C$6:$C$39,1))/(_xlfn.MAXIFS(M$6:M$39,$C$6:$C$39,1)-_xlfn.MINIFS(M$6:M$39,$C$6:$C$39,1)),"")</f>
        <v>4.41278651307151</v>
      </c>
      <c r="AP30" s="11" t="n">
        <f aca="false">IF($C30=1,W30,"")</f>
        <v>0</v>
      </c>
      <c r="AQ30" s="15" t="n">
        <f aca="false">IF($C30=1,Inputs!$D$52*AH30+Inputs!$D$53*AL30+Inputs!$D$54*AM30+Inputs!$D$55*AN30+Inputs!$D$56*AO30+Inputs!$D$57*AP30,"")</f>
        <v>25.2951146290647</v>
      </c>
      <c r="AR30" s="12" t="n">
        <f aca="false">IF($C30=1,SQRT(AC30*AQ30),"")</f>
        <v>33.7508836714485</v>
      </c>
      <c r="AS30" s="41" t="n">
        <f aca="false">IF($C30=1,COUNTIFS($C$6:$C$39,1,$AR$6:$AR$39,"&gt;"&amp;AR30)+1,"")</f>
        <v>25</v>
      </c>
      <c r="AT30" s="13" t="n">
        <f aca="false">IF($C30=1,Inputs!$D$38+Inputs!$D$39*(1-AL30/100)+Inputs!$D$40*(1-AP30/100),"")</f>
        <v>0.163098588102957</v>
      </c>
      <c r="AU30" s="5" t="str">
        <f aca="false">IF($C30=1,IF(AC30&gt;=MEDIAN(AC$6:AC$39),IF(AQ30&gt;=MEDIAN(AQ$6:AQ$39),"Prioritise","Big but hard"),IF(AQ30&gt;=MEDIAN(AQ$6:AQ$39),"Easy but small","Deprioritise")),"")</f>
        <v>Deprioritise</v>
      </c>
    </row>
    <row r="31" customFormat="false" ht="15" hidden="false" customHeight="false" outlineLevel="0" collapsed="false">
      <c r="A31" s="34" t="str">
        <f aca="false">Data!A31</f>
        <v>Nigeria</v>
      </c>
      <c r="B31" s="34" t="str">
        <f aca="false">Data!B31</f>
        <v>NGA</v>
      </c>
      <c r="C31" s="35" t="n">
        <f aca="false">Data!AB31</f>
        <v>1</v>
      </c>
      <c r="D31" s="32" t="n">
        <f aca="false">LN(MAX(Pools!R31,0.000001))</f>
        <v>4.69783846219908</v>
      </c>
      <c r="E31" s="36" t="n">
        <f aca="false">Pools!U31</f>
        <v>0.125108291142284</v>
      </c>
      <c r="F31" s="11" t="n">
        <f aca="false">IF(Data!H31="","",MAX(0,(Inputs!$D$67-Data!H31)*100))</f>
        <v>27.367720161625</v>
      </c>
      <c r="G31" s="11" t="n">
        <f aca="false">IF(COUNT(Data!T31,Data!U31)=0,"",AVERAGE(Data!T31,Data!U31))</f>
        <v>16.8296239924445</v>
      </c>
      <c r="H31" s="11" t="n">
        <f aca="false">IF(Data!O31="","",MIN(Inputs!$D$60,Data!O31))</f>
        <v>8.77134410191558</v>
      </c>
      <c r="I31" s="11" t="n">
        <f aca="false">IF(Data!I31="","",(Data!E31-Data!I31)*100)</f>
        <v>27.1845869219871</v>
      </c>
      <c r="J31" s="11" t="n">
        <f aca="false">IF(F31="",MEDIAN(F$6:F$39),F31)</f>
        <v>27.367720161625</v>
      </c>
      <c r="K31" s="11" t="n">
        <f aca="false">IF(G31="",MEDIAN(G$6:G$39),G31)</f>
        <v>16.8296239924445</v>
      </c>
      <c r="L31" s="11" t="n">
        <f aca="false">IF(H31="",MEDIAN(H$6:H$39),H31)</f>
        <v>8.77134410191558</v>
      </c>
      <c r="M31" s="11" t="n">
        <f aca="false">IF(I31="",MEDIAN(I$6:I$39),I31)</f>
        <v>27.1845869219871</v>
      </c>
      <c r="N31" s="11" t="n">
        <f aca="false">IF(Data!L31="",MIN(Inputs!$D$59,MEDIAN(Data!$L$6:$L$39)),MIN(Inputs!$D$59,Data!L31))</f>
        <v>70.7619057835431</v>
      </c>
      <c r="O31" s="11" t="n">
        <f aca="false">IF(Data!M31="",MEDIAN(Data!$M$6:$M$39),Data!M31)</f>
        <v>41.21139908</v>
      </c>
      <c r="P31" s="11" t="n">
        <f aca="false">IF(Data!N31="",MEDIAN(Data!$N$6:$N$39),Data!N31)</f>
        <v>62.5</v>
      </c>
      <c r="Q31" s="11" t="n">
        <f aca="false">IF(Data!K31="",MEDIAN(Data!$K$6:$K$39),Data!K31)</f>
        <v>62.9755675573659</v>
      </c>
      <c r="R31" s="11" t="n">
        <f aca="false">IF(Data!Q31="",MIN(Inputs!$D$61,MEDIAN(Data!$Q$6:$Q$39)),MIN(Inputs!$D$61,Data!Q31))</f>
        <v>25.5827990142387</v>
      </c>
      <c r="S31" s="11" t="n">
        <f aca="false">IF(Data!R31="",MAX(Inputs!$D$63,MIN(Inputs!$D$62,MEDIAN(Data!$R$6:$R$39))),MAX(Inputs!$D$63,MIN(Inputs!$D$62,Data!R31)))</f>
        <v>40</v>
      </c>
      <c r="T31" s="11" t="n">
        <f aca="false">IF(Data!S31="",MEDIAN(Data!$S$6:$S$39),Data!S31)</f>
        <v>3.90193322472092</v>
      </c>
      <c r="U31" s="39" t="n">
        <f aca="false">Pools!E31</f>
        <v>0.518337837929468</v>
      </c>
      <c r="V31" s="40" t="n">
        <f aca="false">Data!W31</f>
        <v>20</v>
      </c>
      <c r="W31" s="40" t="n">
        <f aca="false">Data!X31</f>
        <v>0</v>
      </c>
      <c r="X31" s="11" t="n">
        <f aca="false">IF($C31=1,100*(D31-_xlfn.MINIFS(D$6:D$39,$C$6:$C$39,1))/(_xlfn.MAXIFS(D$6:D$39,$C$6:$C$39,1)-_xlfn.MINIFS(D$6:D$39,$C$6:$C$39,1)),"")</f>
        <v>100</v>
      </c>
      <c r="Y31" s="11" t="n">
        <f aca="false">IF($C31=1,100*(E31-_xlfn.MINIFS(E$6:E$39,$C$6:$C$39,1))/(_xlfn.MAXIFS(E$6:E$39,$C$6:$C$39,1)-_xlfn.MINIFS(E$6:E$39,$C$6:$C$39,1)),"")</f>
        <v>47.4008156871917</v>
      </c>
      <c r="Z31" s="11" t="n">
        <f aca="false">IF($C31=1,100*(J31-_xlfn.MINIFS(J$6:J$39,$C$6:$C$39,1))/(_xlfn.MAXIFS(J$6:J$39,$C$6:$C$39,1)-_xlfn.MINIFS(J$6:J$39,$C$6:$C$39,1)),"")</f>
        <v>41.6466762132645</v>
      </c>
      <c r="AA31" s="11" t="n">
        <f aca="false">IF($C31=1,100*(L31-_xlfn.MINIFS(L$6:L$39,$C$6:$C$39,1))/(_xlfn.MAXIFS(L$6:L$39,$C$6:$C$39,1)-_xlfn.MINIFS(L$6:L$39,$C$6:$C$39,1)),"")</f>
        <v>57.8768231111603</v>
      </c>
      <c r="AB31" s="11" t="n">
        <f aca="false">IF($C31=1,100*(K31-_xlfn.MINIFS(K$6:K$39,$C$6:$C$39,1))/(_xlfn.MAXIFS(K$6:K$39,$C$6:$C$39,1)-_xlfn.MINIFS(K$6:K$39,$C$6:$C$39,1)),"")</f>
        <v>62.1515678673456</v>
      </c>
      <c r="AC31" s="15" t="n">
        <f aca="false">IF($C31=1,Inputs!$D$46*X31+Inputs!$D$47*Y31+Inputs!$D$48*Z31+Inputs!$D$49*AA31+Inputs!$D$50*AB31,"")</f>
        <v>68.7314232162039</v>
      </c>
      <c r="AD31" s="11" t="n">
        <f aca="false">IF($C31=1,100*(N31-_xlfn.MINIFS(N$6:N$39,$C$6:$C$39,1))/(_xlfn.MAXIFS(N$6:N$39,$C$6:$C$39,1)-_xlfn.MINIFS(N$6:N$39,$C$6:$C$39,1)),"")</f>
        <v>44.0069689135922</v>
      </c>
      <c r="AE31" s="11" t="n">
        <f aca="false">IF($C31=1,100*(O31-_xlfn.MINIFS(O$6:O$39,$C$6:$C$39,1))/(_xlfn.MAXIFS(O$6:O$39,$C$6:$C$39,1)-_xlfn.MINIFS(O$6:O$39,$C$6:$C$39,1)),"")</f>
        <v>46.4812077148101</v>
      </c>
      <c r="AF31" s="11" t="n">
        <f aca="false">IF($C31=1,100*(P31-_xlfn.MINIFS(P$6:P$39,$C$6:$C$39,1))/(_xlfn.MAXIFS(P$6:P$39,$C$6:$C$39,1)-_xlfn.MINIFS(P$6:P$39,$C$6:$C$39,1)),"")</f>
        <v>62.5477707006369</v>
      </c>
      <c r="AG31" s="11" t="n">
        <f aca="false">IF($C31=1,100*(Q31-_xlfn.MINIFS(Q$6:Q$39,$C$6:$C$39,1))/(_xlfn.MAXIFS(Q$6:Q$39,$C$6:$C$39,1)-_xlfn.MINIFS(Q$6:Q$39,$C$6:$C$39,1)),"")</f>
        <v>98.0457301705943</v>
      </c>
      <c r="AH31" s="11" t="n">
        <f aca="false">IF($C31=1,AVERAGE(AD31:AG31),"")</f>
        <v>62.7704193749084</v>
      </c>
      <c r="AI31" s="11" t="n">
        <f aca="false">IF($C31=1,100*(_xlfn.MAXIFS(R$6:R$39,$C$6:$C$39,1)-R31)/(_xlfn.MAXIFS(R$6:R$39,$C$6:$C$39,1)-_xlfn.MINIFS(R$6:R$39,$C$6:$C$39,1)),"")</f>
        <v>37.6921634983657</v>
      </c>
      <c r="AJ31" s="11" t="n">
        <f aca="false">IF($C31=1,100*(_xlfn.MAXIFS(S$6:S$39,$C$6:$C$39,1)-S31)/(_xlfn.MAXIFS(S$6:S$39,$C$6:$C$39,1)-_xlfn.MINIFS(S$6:S$39,$C$6:$C$39,1)),"")</f>
        <v>0</v>
      </c>
      <c r="AK31" s="11" t="n">
        <f aca="false">IF($C31=1,100*(T31-_xlfn.MINIFS(T$6:T$39,$C$6:$C$39,1))/(_xlfn.MAXIFS(T$6:T$39,$C$6:$C$39,1)-_xlfn.MINIFS(T$6:T$39,$C$6:$C$39,1)),"")</f>
        <v>40.425700432055</v>
      </c>
      <c r="AL31" s="11" t="n">
        <f aca="false">IF($C31=1,AVERAGE(AI31:AK31),"")</f>
        <v>26.0392879768069</v>
      </c>
      <c r="AM31" s="11" t="n">
        <f aca="false">IF($C31=1,100*(U31-_xlfn.MINIFS(U$6:U$39,$C$6:$C$39,1))/(_xlfn.MAXIFS(U$6:U$39,$C$6:$C$39,1)-_xlfn.MINIFS(U$6:U$39,$C$6:$C$39,1)),"")</f>
        <v>42.1746488869818</v>
      </c>
      <c r="AN31" s="11" t="n">
        <f aca="false">IF($C31=1,100*(V31-_xlfn.MINIFS(V$6:V$39,$C$6:$C$39,1))/(_xlfn.MAXIFS(V$6:V$39,$C$6:$C$39,1)-_xlfn.MINIFS(V$6:V$39,$C$6:$C$39,1)),"")</f>
        <v>0</v>
      </c>
      <c r="AO31" s="11" t="n">
        <f aca="false">IF($C31=1,100*(M31-_xlfn.MINIFS(M$6:M$39,$C$6:$C$39,1))/(_xlfn.MAXIFS(M$6:M$39,$C$6:$C$39,1)-_xlfn.MINIFS(M$6:M$39,$C$6:$C$39,1)),"")</f>
        <v>64.0952401006177</v>
      </c>
      <c r="AP31" s="11" t="n">
        <f aca="false">IF($C31=1,W31,"")</f>
        <v>0</v>
      </c>
      <c r="AQ31" s="15" t="n">
        <f aca="false">IF($C31=1,Inputs!$D$52*AH31+Inputs!$D$53*AL31+Inputs!$D$54*AM31+Inputs!$D$55*AN31+Inputs!$D$56*AO31+Inputs!$D$57*AP31,"")</f>
        <v>30.4976628134521</v>
      </c>
      <c r="AR31" s="12" t="n">
        <f aca="false">IF($C31=1,SQRT(AC31*AQ31),"")</f>
        <v>45.7837063805068</v>
      </c>
      <c r="AS31" s="41" t="n">
        <f aca="false">IF($C31=1,COUNTIFS($C$6:$C$39,1,$AR$6:$AR$39,"&gt;"&amp;AR31)+1,"")</f>
        <v>20</v>
      </c>
      <c r="AT31" s="13" t="n">
        <f aca="false">IF($C31=1,Inputs!$D$38+Inputs!$D$39*(1-AL31/100)+Inputs!$D$40*(1-AP31/100),"")</f>
        <v>0.189584284809277</v>
      </c>
      <c r="AU31" s="5" t="str">
        <f aca="false">IF($C31=1,IF(AC31&gt;=MEDIAN(AC$6:AC$39),IF(AQ31&gt;=MEDIAN(AQ$6:AQ$39),"Prioritise","Big but hard"),IF(AQ31&gt;=MEDIAN(AQ$6:AQ$39),"Easy but small","Deprioritise")),"")</f>
        <v>Big but hard</v>
      </c>
    </row>
    <row r="32" customFormat="false" ht="15" hidden="false" customHeight="false" outlineLevel="0" collapsed="false">
      <c r="A32" s="34" t="str">
        <f aca="false">Data!A32</f>
        <v>Senegal</v>
      </c>
      <c r="B32" s="34" t="str">
        <f aca="false">Data!B32</f>
        <v>SEN</v>
      </c>
      <c r="C32" s="35" t="n">
        <f aca="false">Data!AB32</f>
        <v>1</v>
      </c>
      <c r="D32" s="32" t="n">
        <f aca="false">LN(MAX(Pools!R32,0.000001))</f>
        <v>2.52938122804281</v>
      </c>
      <c r="E32" s="36" t="n">
        <f aca="false">Pools!U32</f>
        <v>0.0659317542519247</v>
      </c>
      <c r="F32" s="11" t="n">
        <f aca="false">IF(Data!H32="","",MAX(0,(Inputs!$D$67-Data!H32)*100))</f>
        <v>18.7844694187857</v>
      </c>
      <c r="G32" s="11" t="n">
        <f aca="false">IF(COUNT(Data!T32,Data!U32)=0,"",AVERAGE(Data!T32,Data!U32))</f>
        <v>15.3551357568507</v>
      </c>
      <c r="H32" s="11" t="n">
        <f aca="false">IF(Data!O32="","",MIN(Inputs!$D$60,Data!O32))</f>
        <v>10.6434131462934</v>
      </c>
      <c r="I32" s="11" t="n">
        <f aca="false">IF(Data!I32="","",(Data!E32-Data!I32)*100)</f>
        <v>35.1145583139629</v>
      </c>
      <c r="J32" s="11" t="n">
        <f aca="false">IF(F32="",MEDIAN(F$6:F$39),F32)</f>
        <v>18.7844694187857</v>
      </c>
      <c r="K32" s="11" t="n">
        <f aca="false">IF(G32="",MEDIAN(G$6:G$39),G32)</f>
        <v>15.3551357568507</v>
      </c>
      <c r="L32" s="11" t="n">
        <f aca="false">IF(H32="",MEDIAN(H$6:H$39),H32)</f>
        <v>10.6434131462934</v>
      </c>
      <c r="M32" s="11" t="n">
        <f aca="false">IF(I32="",MEDIAN(I$6:I$39),I32)</f>
        <v>35.1145583139629</v>
      </c>
      <c r="N32" s="11" t="n">
        <f aca="false">IF(Data!L32="",MIN(Inputs!$D$59,MEDIAN(Data!$L$6:$L$39)),MIN(Inputs!$D$59,Data!L32))</f>
        <v>120</v>
      </c>
      <c r="O32" s="11" t="n">
        <f aca="false">IF(Data!M32="",MEDIAN(Data!$M$6:$M$39),Data!M32)</f>
        <v>60.11780167</v>
      </c>
      <c r="P32" s="11" t="n">
        <f aca="false">IF(Data!N32="",MEDIAN(Data!$N$6:$N$39),Data!N32)</f>
        <v>82.9</v>
      </c>
      <c r="Q32" s="11" t="n">
        <f aca="false">IF(Data!K32="",MEDIAN(Data!$K$6:$K$39),Data!K32)</f>
        <v>55.2368169057304</v>
      </c>
      <c r="R32" s="11" t="n">
        <f aca="false">IF(Data!Q32="",MIN(Inputs!$D$61,MEDIAN(Data!$Q$6:$Q$39)),MIN(Inputs!$D$61,Data!Q32))</f>
        <v>5.48026675911177</v>
      </c>
      <c r="S32" s="11" t="n">
        <f aca="false">IF(Data!R32="",MAX(Inputs!$D$63,MIN(Inputs!$D$62,MEDIAN(Data!$R$6:$R$39))),MAX(Inputs!$D$63,MIN(Inputs!$D$62,Data!R32)))</f>
        <v>2.97758321341949</v>
      </c>
      <c r="T32" s="11" t="n">
        <f aca="false">IF(Data!S32="",MEDIAN(Data!$S$6:$S$39),Data!S32)</f>
        <v>4.85668951488573</v>
      </c>
      <c r="U32" s="39" t="n">
        <f aca="false">Pools!E32</f>
        <v>0.875122139839836</v>
      </c>
      <c r="V32" s="40" t="n">
        <f aca="false">Data!W32</f>
        <v>20</v>
      </c>
      <c r="W32" s="40" t="n">
        <f aca="false">Data!X32</f>
        <v>100</v>
      </c>
      <c r="X32" s="11" t="n">
        <f aca="false">IF($C32=1,100*(D32-_xlfn.MINIFS(D$6:D$39,$C$6:$C$39,1))/(_xlfn.MAXIFS(D$6:D$39,$C$6:$C$39,1)-_xlfn.MINIFS(D$6:D$39,$C$6:$C$39,1)),"")</f>
        <v>47.7476996860513</v>
      </c>
      <c r="Y32" s="11" t="n">
        <f aca="false">IF($C32=1,100*(E32-_xlfn.MINIFS(E$6:E$39,$C$6:$C$39,1))/(_xlfn.MAXIFS(E$6:E$39,$C$6:$C$39,1)-_xlfn.MINIFS(E$6:E$39,$C$6:$C$39,1)),"")</f>
        <v>12.2696068576215</v>
      </c>
      <c r="Z32" s="11" t="n">
        <f aca="false">IF($C32=1,100*(J32-_xlfn.MINIFS(J$6:J$39,$C$6:$C$39,1))/(_xlfn.MAXIFS(J$6:J$39,$C$6:$C$39,1)-_xlfn.MINIFS(J$6:J$39,$C$6:$C$39,1)),"")</f>
        <v>22.3613691952767</v>
      </c>
      <c r="AA32" s="11" t="n">
        <f aca="false">IF($C32=1,100*(L32-_xlfn.MINIFS(L$6:L$39,$C$6:$C$39,1))/(_xlfn.MAXIFS(L$6:L$39,$C$6:$C$39,1)-_xlfn.MINIFS(L$6:L$39,$C$6:$C$39,1)),"")</f>
        <v>70.5372584915608</v>
      </c>
      <c r="AB32" s="11" t="n">
        <f aca="false">IF($C32=1,100*(K32-_xlfn.MINIFS(K$6:K$39,$C$6:$C$39,1))/(_xlfn.MAXIFS(K$6:K$39,$C$6:$C$39,1)-_xlfn.MINIFS(K$6:K$39,$C$6:$C$39,1)),"")</f>
        <v>55.4577987057153</v>
      </c>
      <c r="AC32" s="15" t="n">
        <f aca="false">IF($C32=1,Inputs!$D$46*X32+Inputs!$D$47*Y32+Inputs!$D$48*Z32+Inputs!$D$49*AA32+Inputs!$D$50*AB32,"")</f>
        <v>41.4190802205252</v>
      </c>
      <c r="AD32" s="11" t="n">
        <f aca="false">IF($C32=1,100*(N32-_xlfn.MINIFS(N$6:N$39,$C$6:$C$39,1))/(_xlfn.MAXIFS(N$6:N$39,$C$6:$C$39,1)-_xlfn.MINIFS(N$6:N$39,$C$6:$C$39,1)),"")</f>
        <v>100</v>
      </c>
      <c r="AE32" s="11" t="n">
        <f aca="false">IF($C32=1,100*(O32-_xlfn.MINIFS(O$6:O$39,$C$6:$C$39,1))/(_xlfn.MAXIFS(O$6:O$39,$C$6:$C$39,1)-_xlfn.MINIFS(O$6:O$39,$C$6:$C$39,1)),"")</f>
        <v>73.7208144632502</v>
      </c>
      <c r="AF32" s="11" t="n">
        <f aca="false">IF($C32=1,100*(P32-_xlfn.MINIFS(P$6:P$39,$C$6:$C$39,1))/(_xlfn.MAXIFS(P$6:P$39,$C$6:$C$39,1)-_xlfn.MINIFS(P$6:P$39,$C$6:$C$39,1)),"")</f>
        <v>88.5350318471338</v>
      </c>
      <c r="AG32" s="11" t="n">
        <f aca="false">IF($C32=1,100*(Q32-_xlfn.MINIFS(Q$6:Q$39,$C$6:$C$39,1))/(_xlfn.MAXIFS(Q$6:Q$39,$C$6:$C$39,1)-_xlfn.MINIFS(Q$6:Q$39,$C$6:$C$39,1)),"")</f>
        <v>81.4454195968585</v>
      </c>
      <c r="AH32" s="11" t="n">
        <f aca="false">IF($C32=1,AVERAGE(AD32:AG32),"")</f>
        <v>85.9253164768106</v>
      </c>
      <c r="AI32" s="11" t="n">
        <f aca="false">IF($C32=1,100*(_xlfn.MAXIFS(R$6:R$39,$C$6:$C$39,1)-R32)/(_xlfn.MAXIFS(R$6:R$39,$C$6:$C$39,1)-_xlfn.MINIFS(R$6:R$39,$C$6:$C$39,1)),"")</f>
        <v>90.2479913070881</v>
      </c>
      <c r="AJ32" s="11" t="n">
        <f aca="false">IF($C32=1,100*(_xlfn.MAXIFS(S$6:S$39,$C$6:$C$39,1)-S32)/(_xlfn.MAXIFS(S$6:S$39,$C$6:$C$39,1)-_xlfn.MINIFS(S$6:S$39,$C$6:$C$39,1)),"")</f>
        <v>90.7324673352827</v>
      </c>
      <c r="AK32" s="11" t="n">
        <f aca="false">IF($C32=1,100*(T32-_xlfn.MINIFS(T$6:T$39,$C$6:$C$39,1))/(_xlfn.MAXIFS(T$6:T$39,$C$6:$C$39,1)-_xlfn.MINIFS(T$6:T$39,$C$6:$C$39,1)),"")</f>
        <v>54.3650345337579</v>
      </c>
      <c r="AL32" s="11" t="n">
        <f aca="false">IF($C32=1,AVERAGE(AI32:AK32),"")</f>
        <v>78.4484977253763</v>
      </c>
      <c r="AM32" s="11" t="n">
        <f aca="false">IF($C32=1,100*(U32-_xlfn.MINIFS(U$6:U$39,$C$6:$C$39,1))/(_xlfn.MAXIFS(U$6:U$39,$C$6:$C$39,1)-_xlfn.MINIFS(U$6:U$39,$C$6:$C$39,1)),"")</f>
        <v>88.5152049334482</v>
      </c>
      <c r="AN32" s="11" t="n">
        <f aca="false">IF($C32=1,100*(V32-_xlfn.MINIFS(V$6:V$39,$C$6:$C$39,1))/(_xlfn.MAXIFS(V$6:V$39,$C$6:$C$39,1)-_xlfn.MINIFS(V$6:V$39,$C$6:$C$39,1)),"")</f>
        <v>0</v>
      </c>
      <c r="AO32" s="11" t="n">
        <f aca="false">IF($C32=1,100*(M32-_xlfn.MINIFS(M$6:M$39,$C$6:$C$39,1))/(_xlfn.MAXIFS(M$6:M$39,$C$6:$C$39,1)-_xlfn.MINIFS(M$6:M$39,$C$6:$C$39,1)),"")</f>
        <v>79.7660134703202</v>
      </c>
      <c r="AP32" s="11" t="n">
        <f aca="false">IF($C32=1,W32,"")</f>
        <v>100</v>
      </c>
      <c r="AQ32" s="15" t="n">
        <f aca="false">IF($C32=1,Inputs!$D$52*AH32+Inputs!$D$53*AL32+Inputs!$D$54*AM32+Inputs!$D$55*AN32+Inputs!$D$56*AO32+Inputs!$D$57*AP32,"")</f>
        <v>74.1286449274866</v>
      </c>
      <c r="AR32" s="12" t="n">
        <f aca="false">IF($C32=1,SQRT(AC32*AQ32),"")</f>
        <v>55.4106514209172</v>
      </c>
      <c r="AS32" s="41" t="n">
        <f aca="false">IF($C32=1,COUNTIFS($C$6:$C$39,1,$AR$6:$AR$39,"&gt;"&amp;AR32)+1,"")</f>
        <v>6</v>
      </c>
      <c r="AT32" s="13" t="n">
        <f aca="false">IF($C32=1,Inputs!$D$38+Inputs!$D$39*(1-AL32/100)+Inputs!$D$40*(1-AP32/100),"")</f>
        <v>0.12862060090985</v>
      </c>
      <c r="AU32" s="5" t="str">
        <f aca="false">IF($C32=1,IF(AC32&gt;=MEDIAN(AC$6:AC$39),IF(AQ32&gt;=MEDIAN(AQ$6:AQ$39),"Prioritise","Big but hard"),IF(AQ32&gt;=MEDIAN(AQ$6:AQ$39),"Easy but small","Deprioritise")),"")</f>
        <v>Easy but small</v>
      </c>
    </row>
    <row r="33" customFormat="false" ht="15" hidden="false" customHeight="false" outlineLevel="0" collapsed="false">
      <c r="A33" s="34" t="str">
        <f aca="false">Data!A33</f>
        <v>Sierra Leone</v>
      </c>
      <c r="B33" s="34" t="str">
        <f aca="false">Data!B33</f>
        <v>SLE</v>
      </c>
      <c r="C33" s="35" t="n">
        <f aca="false">Data!AB33</f>
        <v>1</v>
      </c>
      <c r="D33" s="32" t="n">
        <f aca="false">LN(MAX(Pools!R33,0.000001))</f>
        <v>1.59396425472094</v>
      </c>
      <c r="E33" s="36" t="n">
        <f aca="false">Pools!U33</f>
        <v>0.126867482908619</v>
      </c>
      <c r="F33" s="11" t="n">
        <f aca="false">IF(Data!H33="","",MAX(0,(Inputs!$D$67-Data!H33)*100))</f>
        <v>50.5277311710489</v>
      </c>
      <c r="G33" s="11" t="n">
        <f aca="false">IF(COUNT(Data!T33,Data!U33)=0,"",AVERAGE(Data!T33,Data!U33))</f>
        <v>9.3323927271089</v>
      </c>
      <c r="H33" s="11" t="n">
        <f aca="false">IF(Data!O33="","",MIN(Inputs!$D$60,Data!O33))</f>
        <v>4.60220597454006</v>
      </c>
      <c r="I33" s="11" t="n">
        <f aca="false">IF(Data!I33="","",(Data!E33-Data!I33)*100)</f>
        <v>21.1771121197516</v>
      </c>
      <c r="J33" s="11" t="n">
        <f aca="false">IF(F33="",MEDIAN(F$6:F$39),F33)</f>
        <v>50.5277311710489</v>
      </c>
      <c r="K33" s="11" t="n">
        <f aca="false">IF(G33="",MEDIAN(G$6:G$39),G33)</f>
        <v>9.3323927271089</v>
      </c>
      <c r="L33" s="11" t="n">
        <f aca="false">IF(H33="",MEDIAN(H$6:H$39),H33)</f>
        <v>4.60220597454006</v>
      </c>
      <c r="M33" s="11" t="n">
        <f aca="false">IF(I33="",MEDIAN(I$6:I$39),I33)</f>
        <v>21.1771121197516</v>
      </c>
      <c r="N33" s="11" t="n">
        <f aca="false">IF(Data!L33="",MIN(Inputs!$D$59,MEDIAN(Data!$L$6:$L$39)),MIN(Inputs!$D$59,Data!L33))</f>
        <v>107.882000873042</v>
      </c>
      <c r="O33" s="11" t="n">
        <f aca="false">IF(Data!M33="",MEDIAN(Data!$M$6:$M$39),Data!M33)</f>
        <v>25.10499954</v>
      </c>
      <c r="P33" s="11" t="n">
        <f aca="false">IF(Data!N33="",MEDIAN(Data!$N$6:$N$39),Data!N33)</f>
        <v>39.2</v>
      </c>
      <c r="Q33" s="11" t="n">
        <f aca="false">IF(Data!K33="",MEDIAN(Data!$K$6:$K$39),Data!K33)</f>
        <v>45.3626823156371</v>
      </c>
      <c r="R33" s="11" t="n">
        <f aca="false">IF(Data!Q33="",MIN(Inputs!$D$61,MEDIAN(Data!$Q$6:$Q$39)),MIN(Inputs!$D$61,Data!Q33))</f>
        <v>34.4949705693982</v>
      </c>
      <c r="S33" s="11" t="n">
        <f aca="false">IF(Data!R33="",MAX(Inputs!$D$63,MIN(Inputs!$D$62,MEDIAN(Data!$R$6:$R$39))),MAX(Inputs!$D$63,MIN(Inputs!$D$62,Data!R33)))</f>
        <v>35.6673195018926</v>
      </c>
      <c r="T33" s="11" t="n">
        <f aca="false">IF(Data!S33="",MEDIAN(Data!$S$6:$S$39),Data!S33)</f>
        <v>5.1055999521394</v>
      </c>
      <c r="U33" s="39" t="n">
        <f aca="false">Pools!E33</f>
        <v>0.833642968745711</v>
      </c>
      <c r="V33" s="40" t="n">
        <f aca="false">Data!W33</f>
        <v>20</v>
      </c>
      <c r="W33" s="40" t="n">
        <f aca="false">Data!X33</f>
        <v>100</v>
      </c>
      <c r="X33" s="11" t="n">
        <f aca="false">IF($C33=1,100*(D33-_xlfn.MINIFS(D$6:D$39,$C$6:$C$39,1))/(_xlfn.MAXIFS(D$6:D$39,$C$6:$C$39,1)-_xlfn.MINIFS(D$6:D$39,$C$6:$C$39,1)),"")</f>
        <v>25.2073941458328</v>
      </c>
      <c r="Y33" s="11" t="n">
        <f aca="false">IF($C33=1,100*(E33-_xlfn.MINIFS(E$6:E$39,$C$6:$C$39,1))/(_xlfn.MAXIFS(E$6:E$39,$C$6:$C$39,1)-_xlfn.MINIFS(E$6:E$39,$C$6:$C$39,1)),"")</f>
        <v>48.4451913225702</v>
      </c>
      <c r="Z33" s="11" t="n">
        <f aca="false">IF($C33=1,100*(J33-_xlfn.MINIFS(J$6:J$39,$C$6:$C$39,1))/(_xlfn.MAXIFS(J$6:J$39,$C$6:$C$39,1)-_xlfn.MINIFS(J$6:J$39,$C$6:$C$39,1)),"")</f>
        <v>93.6838281314163</v>
      </c>
      <c r="AA33" s="11" t="n">
        <f aca="false">IF($C33=1,100*(L33-_xlfn.MINIFS(L$6:L$39,$C$6:$C$39,1))/(_xlfn.MAXIFS(L$6:L$39,$C$6:$C$39,1)-_xlfn.MINIFS(L$6:L$39,$C$6:$C$39,1)),"")</f>
        <v>29.6817605347456</v>
      </c>
      <c r="AB33" s="11" t="n">
        <f aca="false">IF($C33=1,100*(K33-_xlfn.MINIFS(K$6:K$39,$C$6:$C$39,1))/(_xlfn.MAXIFS(K$6:K$39,$C$6:$C$39,1)-_xlfn.MINIFS(K$6:K$39,$C$6:$C$39,1)),"")</f>
        <v>28.1162095443243</v>
      </c>
      <c r="AC33" s="15" t="n">
        <f aca="false">IF($C33=1,Inputs!$D$46*X33+Inputs!$D$47*Y33+Inputs!$D$48*Z33+Inputs!$D$49*AA33+Inputs!$D$50*AB33,"")</f>
        <v>41.2338959471284</v>
      </c>
      <c r="AD33" s="11" t="n">
        <f aca="false">IF($C33=1,100*(N33-_xlfn.MINIFS(N$6:N$39,$C$6:$C$39,1))/(_xlfn.MAXIFS(N$6:N$39,$C$6:$C$39,1)-_xlfn.MINIFS(N$6:N$39,$C$6:$C$39,1)),"")</f>
        <v>86.2195417467226</v>
      </c>
      <c r="AE33" s="11" t="n">
        <f aca="false">IF($C33=1,100*(O33-_xlfn.MINIFS(O$6:O$39,$C$6:$C$39,1))/(_xlfn.MAXIFS(O$6:O$39,$C$6:$C$39,1)-_xlfn.MINIFS(O$6:O$39,$C$6:$C$39,1)),"")</f>
        <v>23.2757360490945</v>
      </c>
      <c r="AF33" s="11" t="n">
        <f aca="false">IF($C33=1,100*(P33-_xlfn.MINIFS(P$6:P$39,$C$6:$C$39,1))/(_xlfn.MAXIFS(P$6:P$39,$C$6:$C$39,1)-_xlfn.MINIFS(P$6:P$39,$C$6:$C$39,1)),"")</f>
        <v>32.8662420382166</v>
      </c>
      <c r="AG33" s="11" t="n">
        <f aca="false">IF($C33=1,100*(Q33-_xlfn.MINIFS(Q$6:Q$39,$C$6:$C$39,1))/(_xlfn.MAXIFS(Q$6:Q$39,$C$6:$C$39,1)-_xlfn.MINIFS(Q$6:Q$39,$C$6:$C$39,1)),"")</f>
        <v>60.2645199631722</v>
      </c>
      <c r="AH33" s="11" t="n">
        <f aca="false">IF($C33=1,AVERAGE(AD33:AG33),"")</f>
        <v>50.6565099493015</v>
      </c>
      <c r="AI33" s="11" t="n">
        <f aca="false">IF($C33=1,100*(_xlfn.MAXIFS(R$6:R$39,$C$6:$C$39,1)-R33)/(_xlfn.MAXIFS(R$6:R$39,$C$6:$C$39,1)-_xlfn.MINIFS(R$6:R$39,$C$6:$C$39,1)),"")</f>
        <v>14.3922852685821</v>
      </c>
      <c r="AJ33" s="11" t="n">
        <f aca="false">IF($C33=1,100*(_xlfn.MAXIFS(S$6:S$39,$C$6:$C$39,1)-S33)/(_xlfn.MAXIFS(S$6:S$39,$C$6:$C$39,1)-_xlfn.MINIFS(S$6:S$39,$C$6:$C$39,1)),"")</f>
        <v>10.6182909137159</v>
      </c>
      <c r="AK33" s="11" t="n">
        <f aca="false">IF($C33=1,100*(T33-_xlfn.MINIFS(T$6:T$39,$C$6:$C$39,1))/(_xlfn.MAXIFS(T$6:T$39,$C$6:$C$39,1)-_xlfn.MINIFS(T$6:T$39,$C$6:$C$39,1)),"")</f>
        <v>57.9990988306069</v>
      </c>
      <c r="AL33" s="11" t="n">
        <f aca="false">IF($C33=1,AVERAGE(AI33:AK33),"")</f>
        <v>27.6698916709683</v>
      </c>
      <c r="AM33" s="11" t="n">
        <f aca="false">IF($C33=1,100*(U33-_xlfn.MINIFS(U$6:U$39,$C$6:$C$39,1))/(_xlfn.MAXIFS(U$6:U$39,$C$6:$C$39,1)-_xlfn.MINIFS(U$6:U$39,$C$6:$C$39,1)),"")</f>
        <v>83.1277261611025</v>
      </c>
      <c r="AN33" s="11" t="n">
        <f aca="false">IF($C33=1,100*(V33-_xlfn.MINIFS(V$6:V$39,$C$6:$C$39,1))/(_xlfn.MAXIFS(V$6:V$39,$C$6:$C$39,1)-_xlfn.MINIFS(V$6:V$39,$C$6:$C$39,1)),"")</f>
        <v>0</v>
      </c>
      <c r="AO33" s="11" t="n">
        <f aca="false">IF($C33=1,100*(M33-_xlfn.MINIFS(M$6:M$39,$C$6:$C$39,1))/(_xlfn.MAXIFS(M$6:M$39,$C$6:$C$39,1)-_xlfn.MINIFS(M$6:M$39,$C$6:$C$39,1)),"")</f>
        <v>52.2235987671711</v>
      </c>
      <c r="AP33" s="11" t="n">
        <f aca="false">IF($C33=1,W33,"")</f>
        <v>100</v>
      </c>
      <c r="AQ33" s="15" t="n">
        <f aca="false">IF($C33=1,Inputs!$D$52*AH33+Inputs!$D$53*AL33+Inputs!$D$54*AM33+Inputs!$D$55*AN33+Inputs!$D$56*AO33+Inputs!$D$57*AP33,"")</f>
        <v>53.3567991249364</v>
      </c>
      <c r="AR33" s="12" t="n">
        <f aca="false">IF($C33=1,SQRT(AC33*AQ33),"")</f>
        <v>46.9053163638138</v>
      </c>
      <c r="AS33" s="41" t="n">
        <f aca="false">IF($C33=1,COUNTIFS($C$6:$C$39,1,$AR$6:$AR$39,"&gt;"&amp;AR33)+1,"")</f>
        <v>18</v>
      </c>
      <c r="AT33" s="13" t="n">
        <f aca="false">IF($C33=1,Inputs!$D$38+Inputs!$D$39*(1-AL33/100)+Inputs!$D$40*(1-AP33/100),"")</f>
        <v>0.148932043331613</v>
      </c>
      <c r="AU33" s="5" t="str">
        <f aca="false">IF($C33=1,IF(AC33&gt;=MEDIAN(AC$6:AC$39),IF(AQ33&gt;=MEDIAN(AQ$6:AQ$39),"Prioritise","Big but hard"),IF(AQ33&gt;=MEDIAN(AQ$6:AQ$39),"Easy but small","Deprioritise")),"")</f>
        <v>Deprioritise</v>
      </c>
    </row>
    <row r="34" customFormat="false" ht="15" hidden="false" customHeight="false" outlineLevel="0" collapsed="false">
      <c r="A34" s="34" t="str">
        <f aca="false">Data!A34</f>
        <v>South Africa</v>
      </c>
      <c r="B34" s="34" t="str">
        <f aca="false">Data!B34</f>
        <v>ZAF</v>
      </c>
      <c r="C34" s="35" t="n">
        <f aca="false">Data!AB34</f>
        <v>1</v>
      </c>
      <c r="D34" s="32" t="n">
        <f aca="false">LN(MAX(Pools!R34,0.000001))</f>
        <v>3.45630615858518</v>
      </c>
      <c r="E34" s="36" t="n">
        <f aca="false">Pools!U34</f>
        <v>0.118503380620683</v>
      </c>
      <c r="F34" s="11" t="n">
        <f aca="false">IF(Data!H34="","",MAX(0,(Inputs!$D$67-Data!H34)*100))</f>
        <v>8.8321653887154</v>
      </c>
      <c r="G34" s="11" t="n">
        <f aca="false">IF(COUNT(Data!T34,Data!U34)=0,"",AVERAGE(Data!T34,Data!U34))</f>
        <v>15.2265918018873</v>
      </c>
      <c r="H34" s="11" t="n">
        <f aca="false">IF(Data!O34="","",MIN(Inputs!$D$60,Data!O34))</f>
        <v>0.213233288359423</v>
      </c>
      <c r="I34" s="11" t="n">
        <f aca="false">IF(Data!I34="","",(Data!E34-Data!I34)*100)</f>
        <v>12.6063557288424</v>
      </c>
      <c r="J34" s="11" t="n">
        <f aca="false">IF(F34="",MEDIAN(F$6:F$39),F34)</f>
        <v>8.8321653887154</v>
      </c>
      <c r="K34" s="11" t="n">
        <f aca="false">IF(G34="",MEDIAN(G$6:G$39),G34)</f>
        <v>15.2265918018873</v>
      </c>
      <c r="L34" s="11" t="n">
        <f aca="false">IF(H34="",MEDIAN(H$6:H$39),H34)</f>
        <v>0.213233288359423</v>
      </c>
      <c r="M34" s="11" t="n">
        <f aca="false">IF(I34="",MEDIAN(I$6:I$39),I34)</f>
        <v>12.6063557288424</v>
      </c>
      <c r="N34" s="11" t="n">
        <f aca="false">IF(Data!L34="",MIN(Inputs!$D$59,MEDIAN(Data!$L$6:$L$39)),MIN(Inputs!$D$59,Data!L34))</f>
        <v>120</v>
      </c>
      <c r="O34" s="11" t="n">
        <f aca="false">IF(Data!M34="",MEDIAN(Data!$M$6:$M$39),Data!M34)</f>
        <v>78.35759735</v>
      </c>
      <c r="P34" s="11" t="n">
        <f aca="false">IF(Data!N34="",MEDIAN(Data!$N$6:$N$39),Data!N34)</f>
        <v>90.2</v>
      </c>
      <c r="Q34" s="11" t="n">
        <f aca="false">IF(Data!K34="",MEDIAN(Data!$K$6:$K$39),Data!K34)</f>
        <v>63.6917984858172</v>
      </c>
      <c r="R34" s="11" t="n">
        <f aca="false">IF(Data!Q34="",MIN(Inputs!$D$61,MEDIAN(Data!$Q$6:$Q$39)),MIN(Inputs!$D$61,Data!Q34))</f>
        <v>5.82542301215034</v>
      </c>
      <c r="S34" s="11" t="n">
        <f aca="false">IF(Data!R34="",MAX(Inputs!$D$63,MIN(Inputs!$D$62,MEDIAN(Data!$R$6:$R$39))),MAX(Inputs!$D$63,MIN(Inputs!$D$62,Data!R34)))</f>
        <v>7.17601135124597</v>
      </c>
      <c r="T34" s="11" t="n">
        <f aca="false">IF(Data!S34="",MEDIAN(Data!$S$6:$S$39),Data!S34)</f>
        <v>1.1330282332617</v>
      </c>
      <c r="U34" s="39" t="n">
        <f aca="false">Pools!E34</f>
        <v>0.389803698501548</v>
      </c>
      <c r="V34" s="40" t="n">
        <f aca="false">Data!W34</f>
        <v>20</v>
      </c>
      <c r="W34" s="40" t="n">
        <f aca="false">Data!X34</f>
        <v>100</v>
      </c>
      <c r="X34" s="11" t="n">
        <f aca="false">IF($C34=1,100*(D34-_xlfn.MINIFS(D$6:D$39,$C$6:$C$39,1))/(_xlfn.MAXIFS(D$6:D$39,$C$6:$C$39,1)-_xlfn.MINIFS(D$6:D$39,$C$6:$C$39,1)),"")</f>
        <v>70.0833764410651</v>
      </c>
      <c r="Y34" s="11" t="n">
        <f aca="false">IF($C34=1,100*(E34-_xlfn.MINIFS(E$6:E$39,$C$6:$C$39,1))/(_xlfn.MAXIFS(E$6:E$39,$C$6:$C$39,1)-_xlfn.MINIFS(E$6:E$39,$C$6:$C$39,1)),"")</f>
        <v>43.4796925017494</v>
      </c>
      <c r="Z34" s="11" t="n">
        <f aca="false">IF($C34=1,100*(J34-_xlfn.MINIFS(J$6:J$39,$C$6:$C$39,1))/(_xlfn.MAXIFS(J$6:J$39,$C$6:$C$39,1)-_xlfn.MINIFS(J$6:J$39,$C$6:$C$39,1)),"")</f>
        <v>0</v>
      </c>
      <c r="AA34" s="11" t="n">
        <f aca="false">IF($C34=1,100*(L34-_xlfn.MINIFS(L$6:L$39,$C$6:$C$39,1))/(_xlfn.MAXIFS(L$6:L$39,$C$6:$C$39,1)-_xlfn.MINIFS(L$6:L$39,$C$6:$C$39,1)),"")</f>
        <v>0</v>
      </c>
      <c r="AB34" s="11" t="n">
        <f aca="false">IF($C34=1,100*(K34-_xlfn.MINIFS(K$6:K$39,$C$6:$C$39,1))/(_xlfn.MAXIFS(K$6:K$39,$C$6:$C$39,1)-_xlfn.MINIFS(K$6:K$39,$C$6:$C$39,1)),"")</f>
        <v>54.8742446692183</v>
      </c>
      <c r="AC34" s="15" t="n">
        <f aca="false">IF($C34=1,Inputs!$D$46*X34+Inputs!$D$47*Y34+Inputs!$D$48*Z34+Inputs!$D$49*AA34+Inputs!$D$50*AB34,"")</f>
        <v>41.4562569551054</v>
      </c>
      <c r="AD34" s="11" t="n">
        <f aca="false">IF($C34=1,100*(N34-_xlfn.MINIFS(N$6:N$39,$C$6:$C$39,1))/(_xlfn.MAXIFS(N$6:N$39,$C$6:$C$39,1)-_xlfn.MINIFS(N$6:N$39,$C$6:$C$39,1)),"")</f>
        <v>100</v>
      </c>
      <c r="AE34" s="11" t="n">
        <f aca="false">IF($C34=1,100*(O34-_xlfn.MINIFS(O$6:O$39,$C$6:$C$39,1))/(_xlfn.MAXIFS(O$6:O$39,$C$6:$C$39,1)-_xlfn.MINIFS(O$6:O$39,$C$6:$C$39,1)),"")</f>
        <v>100</v>
      </c>
      <c r="AF34" s="11" t="n">
        <f aca="false">IF($C34=1,100*(P34-_xlfn.MINIFS(P$6:P$39,$C$6:$C$39,1))/(_xlfn.MAXIFS(P$6:P$39,$C$6:$C$39,1)-_xlfn.MINIFS(P$6:P$39,$C$6:$C$39,1)),"")</f>
        <v>97.8343949044586</v>
      </c>
      <c r="AG34" s="11" t="n">
        <f aca="false">IF($C34=1,100*(Q34-_xlfn.MINIFS(Q$6:Q$39,$C$6:$C$39,1))/(_xlfn.MAXIFS(Q$6:Q$39,$C$6:$C$39,1)-_xlfn.MINIFS(Q$6:Q$39,$C$6:$C$39,1)),"")</f>
        <v>99.5821094118991</v>
      </c>
      <c r="AH34" s="11" t="n">
        <f aca="false">IF($C34=1,AVERAGE(AD34:AG34),"")</f>
        <v>99.3541260790894</v>
      </c>
      <c r="AI34" s="11" t="n">
        <f aca="false">IF($C34=1,100*(_xlfn.MAXIFS(R$6:R$39,$C$6:$C$39,1)-R34)/(_xlfn.MAXIFS(R$6:R$39,$C$6:$C$39,1)-_xlfn.MINIFS(R$6:R$39,$C$6:$C$39,1)),"")</f>
        <v>89.3456187914478</v>
      </c>
      <c r="AJ34" s="11" t="n">
        <f aca="false">IF($C34=1,100*(_xlfn.MAXIFS(S$6:S$39,$C$6:$C$39,1)-S34)/(_xlfn.MAXIFS(S$6:S$39,$C$6:$C$39,1)-_xlfn.MINIFS(S$6:S$39,$C$6:$C$39,1)),"")</f>
        <v>80.4431945935597</v>
      </c>
      <c r="AK34" s="11" t="n">
        <f aca="false">IF($C34=1,100*(T34-_xlfn.MINIFS(T$6:T$39,$C$6:$C$39,1))/(_xlfn.MAXIFS(T$6:T$39,$C$6:$C$39,1)-_xlfn.MINIFS(T$6:T$39,$C$6:$C$39,1)),"")</f>
        <v>0</v>
      </c>
      <c r="AL34" s="11" t="n">
        <f aca="false">IF($C34=1,AVERAGE(AI34:AK34),"")</f>
        <v>56.5962711283358</v>
      </c>
      <c r="AM34" s="11" t="n">
        <f aca="false">IF($C34=1,100*(U34-_xlfn.MINIFS(U$6:U$39,$C$6:$C$39,1))/(_xlfn.MAXIFS(U$6:U$39,$C$6:$C$39,1)-_xlfn.MINIFS(U$6:U$39,$C$6:$C$39,1)),"")</f>
        <v>25.4801265659291</v>
      </c>
      <c r="AN34" s="11" t="n">
        <f aca="false">IF($C34=1,100*(V34-_xlfn.MINIFS(V$6:V$39,$C$6:$C$39,1))/(_xlfn.MAXIFS(V$6:V$39,$C$6:$C$39,1)-_xlfn.MINIFS(V$6:V$39,$C$6:$C$39,1)),"")</f>
        <v>0</v>
      </c>
      <c r="AO34" s="11" t="n">
        <f aca="false">IF($C34=1,100*(M34-_xlfn.MINIFS(M$6:M$39,$C$6:$C$39,1))/(_xlfn.MAXIFS(M$6:M$39,$C$6:$C$39,1)-_xlfn.MINIFS(M$6:M$39,$C$6:$C$39,1)),"")</f>
        <v>35.286541321444</v>
      </c>
      <c r="AP34" s="11" t="n">
        <f aca="false">IF($C34=1,W34,"")</f>
        <v>100</v>
      </c>
      <c r="AQ34" s="15" t="n">
        <f aca="false">IF($C34=1,Inputs!$D$52*AH34+Inputs!$D$53*AL34+Inputs!$D$54*AM34+Inputs!$D$55*AN34+Inputs!$D$56*AO34+Inputs!$D$57*AP34,"")</f>
        <v>58.5407525585188</v>
      </c>
      <c r="AR34" s="12" t="n">
        <f aca="false">IF($C34=1,SQRT(AC34*AQ34),"")</f>
        <v>49.2633786946369</v>
      </c>
      <c r="AS34" s="41" t="n">
        <f aca="false">IF($C34=1,COUNTIFS($C$6:$C$39,1,$AR$6:$AR$39,"&gt;"&amp;AR34)+1,"")</f>
        <v>15</v>
      </c>
      <c r="AT34" s="13" t="n">
        <f aca="false">IF($C34=1,Inputs!$D$38+Inputs!$D$39*(1-AL34/100)+Inputs!$D$40*(1-AP34/100),"")</f>
        <v>0.137361491548666</v>
      </c>
      <c r="AU34" s="5" t="str">
        <f aca="false">IF($C34=1,IF(AC34&gt;=MEDIAN(AC$6:AC$39),IF(AQ34&gt;=MEDIAN(AQ$6:AQ$39),"Prioritise","Big but hard"),IF(AQ34&gt;=MEDIAN(AQ$6:AQ$39),"Easy but small","Deprioritise")),"")</f>
        <v>Easy but small</v>
      </c>
    </row>
    <row r="35" customFormat="false" ht="15" hidden="false" customHeight="false" outlineLevel="0" collapsed="false">
      <c r="A35" s="34" t="str">
        <f aca="false">Data!A35</f>
        <v>Tanzania</v>
      </c>
      <c r="B35" s="34" t="str">
        <f aca="false">Data!B35</f>
        <v>TZA</v>
      </c>
      <c r="C35" s="35" t="n">
        <f aca="false">Data!AB35</f>
        <v>1</v>
      </c>
      <c r="D35" s="32" t="n">
        <f aca="false">LN(MAX(Pools!R35,0.000001))</f>
        <v>3.81133080790703</v>
      </c>
      <c r="E35" s="36" t="n">
        <f aca="false">Pools!U35</f>
        <v>0.0944062128177512</v>
      </c>
      <c r="F35" s="11" t="n">
        <f aca="false">IF(Data!H35="","",MAX(0,(Inputs!$D$67-Data!H35)*100))</f>
        <v>51.8992566816411</v>
      </c>
      <c r="G35" s="11" t="n">
        <f aca="false">IF(COUNT(Data!T35,Data!U35)=0,"",AVERAGE(Data!T35,Data!U35))</f>
        <v>10.8089025018083</v>
      </c>
      <c r="H35" s="11" t="n">
        <f aca="false">IF(Data!O35="","",MIN(Inputs!$D$60,Data!O35))</f>
        <v>1.41761823085648</v>
      </c>
      <c r="I35" s="11" t="n">
        <f aca="false">IF(Data!I35="","",(Data!E35-Data!I35)*100)</f>
        <v>14.3159530389432</v>
      </c>
      <c r="J35" s="11" t="n">
        <f aca="false">IF(F35="",MEDIAN(F$6:F$39),F35)</f>
        <v>51.8992566816411</v>
      </c>
      <c r="K35" s="11" t="n">
        <f aca="false">IF(G35="",MEDIAN(G$6:G$39),G35)</f>
        <v>10.8089025018083</v>
      </c>
      <c r="L35" s="11" t="n">
        <f aca="false">IF(H35="",MEDIAN(H$6:H$39),H35)</f>
        <v>1.41761823085648</v>
      </c>
      <c r="M35" s="11" t="n">
        <f aca="false">IF(I35="",MEDIAN(I$6:I$39),I35)</f>
        <v>14.3159530389432</v>
      </c>
      <c r="N35" s="11" t="n">
        <f aca="false">IF(Data!L35="",MIN(Inputs!$D$59,MEDIAN(Data!$L$6:$L$39)),MIN(Inputs!$D$59,Data!L35))</f>
        <v>120</v>
      </c>
      <c r="O35" s="11" t="n">
        <f aca="false">IF(Data!M35="",MEDIAN(Data!$M$6:$M$39),Data!M35)</f>
        <v>31.16209984</v>
      </c>
      <c r="P35" s="11" t="n">
        <f aca="false">IF(Data!N35="",MEDIAN(Data!$N$6:$N$39),Data!N35)</f>
        <v>52.4</v>
      </c>
      <c r="Q35" s="11" t="n">
        <f aca="false">IF(Data!K35="",MEDIAN(Data!$K$6:$K$39),Data!K35)</f>
        <v>36.1684458862992</v>
      </c>
      <c r="R35" s="11" t="n">
        <f aca="false">IF(Data!Q35="",MIN(Inputs!$D$61,MEDIAN(Data!$Q$6:$Q$39)),MIN(Inputs!$D$61,Data!Q35))</f>
        <v>3.73548390655463</v>
      </c>
      <c r="S35" s="11" t="n">
        <f aca="false">IF(Data!R35="",MAX(Inputs!$D$63,MIN(Inputs!$D$62,MEDIAN(Data!$R$6:$R$39))),MAX(Inputs!$D$63,MIN(Inputs!$D$62,Data!R35)))</f>
        <v>4.09223373773244</v>
      </c>
      <c r="T35" s="11" t="n">
        <f aca="false">IF(Data!S35="",MEDIAN(Data!$S$6:$S$39),Data!S35)</f>
        <v>5.05394770897933</v>
      </c>
      <c r="U35" s="39" t="n">
        <f aca="false">Pools!E35</f>
        <v>0.883439243969868</v>
      </c>
      <c r="V35" s="40" t="n">
        <f aca="false">Data!W35</f>
        <v>100</v>
      </c>
      <c r="W35" s="40" t="n">
        <f aca="false">Data!X35</f>
        <v>100</v>
      </c>
      <c r="X35" s="11" t="n">
        <f aca="false">IF($C35=1,100*(D35-_xlfn.MINIFS(D$6:D$39,$C$6:$C$39,1))/(_xlfn.MAXIFS(D$6:D$39,$C$6:$C$39,1)-_xlfn.MINIFS(D$6:D$39,$C$6:$C$39,1)),"")</f>
        <v>78.6382394575071</v>
      </c>
      <c r="Y35" s="11" t="n">
        <f aca="false">IF($C35=1,100*(E35-_xlfn.MINIFS(E$6:E$39,$C$6:$C$39,1))/(_xlfn.MAXIFS(E$6:E$39,$C$6:$C$39,1)-_xlfn.MINIFS(E$6:E$39,$C$6:$C$39,1)),"")</f>
        <v>29.1739781296074</v>
      </c>
      <c r="Z35" s="11" t="n">
        <f aca="false">IF($C35=1,100*(J35-_xlfn.MINIFS(J$6:J$39,$C$6:$C$39,1))/(_xlfn.MAXIFS(J$6:J$39,$C$6:$C$39,1)-_xlfn.MINIFS(J$6:J$39,$C$6:$C$39,1)),"")</f>
        <v>96.76544503243</v>
      </c>
      <c r="AA35" s="11" t="n">
        <f aca="false">IF($C35=1,100*(L35-_xlfn.MINIFS(L$6:L$39,$C$6:$C$39,1))/(_xlfn.MAXIFS(L$6:L$39,$C$6:$C$39,1)-_xlfn.MINIFS(L$6:L$39,$C$6:$C$39,1)),"")</f>
        <v>8.14501889415033</v>
      </c>
      <c r="AB35" s="11" t="n">
        <f aca="false">IF($C35=1,100*(K35-_xlfn.MINIFS(K$6:K$39,$C$6:$C$39,1))/(_xlfn.MAXIFS(K$6:K$39,$C$6:$C$39,1)-_xlfn.MINIFS(K$6:K$39,$C$6:$C$39,1)),"")</f>
        <v>34.8191559349057</v>
      </c>
      <c r="AC35" s="15" t="n">
        <f aca="false">IF($C35=1,Inputs!$D$46*X35+Inputs!$D$47*Y35+Inputs!$D$48*Z35+Inputs!$D$49*AA35+Inputs!$D$50*AB35,"")</f>
        <v>54.3176224152719</v>
      </c>
      <c r="AD35" s="11" t="n">
        <f aca="false">IF($C35=1,100*(N35-_xlfn.MINIFS(N$6:N$39,$C$6:$C$39,1))/(_xlfn.MAXIFS(N$6:N$39,$C$6:$C$39,1)-_xlfn.MINIFS(N$6:N$39,$C$6:$C$39,1)),"")</f>
        <v>100</v>
      </c>
      <c r="AE35" s="11" t="n">
        <f aca="false">IF($C35=1,100*(O35-_xlfn.MINIFS(O$6:O$39,$C$6:$C$39,1))/(_xlfn.MAXIFS(O$6:O$39,$C$6:$C$39,1)-_xlfn.MINIFS(O$6:O$39,$C$6:$C$39,1)),"")</f>
        <v>32.0025696930118</v>
      </c>
      <c r="AF35" s="11" t="n">
        <f aca="false">IF($C35=1,100*(P35-_xlfn.MINIFS(P$6:P$39,$C$6:$C$39,1))/(_xlfn.MAXIFS(P$6:P$39,$C$6:$C$39,1)-_xlfn.MINIFS(P$6:P$39,$C$6:$C$39,1)),"")</f>
        <v>49.6815286624204</v>
      </c>
      <c r="AG35" s="11" t="n">
        <f aca="false">IF($C35=1,100*(Q35-_xlfn.MINIFS(Q$6:Q$39,$C$6:$C$39,1))/(_xlfn.MAXIFS(Q$6:Q$39,$C$6:$C$39,1)-_xlfn.MINIFS(Q$6:Q$39,$C$6:$C$39,1)),"")</f>
        <v>40.5420625425925</v>
      </c>
      <c r="AH35" s="11" t="n">
        <f aca="false">IF($C35=1,AVERAGE(AD35:AG35),"")</f>
        <v>55.5565402245062</v>
      </c>
      <c r="AI35" s="11" t="n">
        <f aca="false">IF($C35=1,100*(_xlfn.MAXIFS(R$6:R$39,$C$6:$C$39,1)-R35)/(_xlfn.MAXIFS(R$6:R$39,$C$6:$C$39,1)-_xlfn.MINIFS(R$6:R$39,$C$6:$C$39,1)),"")</f>
        <v>94.8095314155099</v>
      </c>
      <c r="AJ35" s="11" t="n">
        <f aca="false">IF($C35=1,100*(_xlfn.MAXIFS(S$6:S$39,$C$6:$C$39,1)-S35)/(_xlfn.MAXIFS(S$6:S$39,$C$6:$C$39,1)-_xlfn.MINIFS(S$6:S$39,$C$6:$C$39,1)),"")</f>
        <v>88.0007442046594</v>
      </c>
      <c r="AK35" s="11" t="n">
        <f aca="false">IF($C35=1,100*(T35-_xlfn.MINIFS(T$6:T$39,$C$6:$C$39,1))/(_xlfn.MAXIFS(T$6:T$39,$C$6:$C$39,1)-_xlfn.MINIFS(T$6:T$39,$C$6:$C$39,1)),"")</f>
        <v>57.2449819089091</v>
      </c>
      <c r="AL35" s="11" t="n">
        <f aca="false">IF($C35=1,AVERAGE(AI35:AK35),"")</f>
        <v>80.0184191763595</v>
      </c>
      <c r="AM35" s="11" t="n">
        <f aca="false">IF($C35=1,100*(U35-_xlfn.MINIFS(U$6:U$39,$C$6:$C$39,1))/(_xlfn.MAXIFS(U$6:U$39,$C$6:$C$39,1)-_xlfn.MINIFS(U$6:U$39,$C$6:$C$39,1)),"")</f>
        <v>89.5954633080974</v>
      </c>
      <c r="AN35" s="11" t="n">
        <f aca="false">IF($C35=1,100*(V35-_xlfn.MINIFS(V$6:V$39,$C$6:$C$39,1))/(_xlfn.MAXIFS(V$6:V$39,$C$6:$C$39,1)-_xlfn.MINIFS(V$6:V$39,$C$6:$C$39,1)),"")</f>
        <v>100</v>
      </c>
      <c r="AO35" s="11" t="n">
        <f aca="false">IF($C35=1,100*(M35-_xlfn.MINIFS(M$6:M$39,$C$6:$C$39,1))/(_xlfn.MAXIFS(M$6:M$39,$C$6:$C$39,1)-_xlfn.MINIFS(M$6:M$39,$C$6:$C$39,1)),"")</f>
        <v>38.6649535093053</v>
      </c>
      <c r="AP35" s="11" t="n">
        <f aca="false">IF($C35=1,W35,"")</f>
        <v>100</v>
      </c>
      <c r="AQ35" s="15" t="n">
        <f aca="false">IF($C35=1,Inputs!$D$52*AH35+Inputs!$D$53*AL35+Inputs!$D$54*AM35+Inputs!$D$55*AN35+Inputs!$D$56*AO35+Inputs!$D$57*AP35,"")</f>
        <v>79.4208067273183</v>
      </c>
      <c r="AR35" s="12" t="n">
        <f aca="false">IF($C35=1,SQRT(AC35*AQ35),"")</f>
        <v>65.6806622357811</v>
      </c>
      <c r="AS35" s="41" t="n">
        <f aca="false">IF($C35=1,COUNTIFS($C$6:$C$39,1,$AR$6:$AR$39,"&gt;"&amp;AR35)+1,"")</f>
        <v>1</v>
      </c>
      <c r="AT35" s="13" t="n">
        <f aca="false">IF($C35=1,Inputs!$D$38+Inputs!$D$39*(1-AL35/100)+Inputs!$D$40*(1-AP35/100),"")</f>
        <v>0.127992632329456</v>
      </c>
      <c r="AU35" s="5" t="str">
        <f aca="false">IF($C35=1,IF(AC35&gt;=MEDIAN(AC$6:AC$39),IF(AQ35&gt;=MEDIAN(AQ$6:AQ$39),"Prioritise","Big but hard"),IF(AQ35&gt;=MEDIAN(AQ$6:AQ$39),"Easy but small","Deprioritise")),"")</f>
        <v>Prioritise</v>
      </c>
    </row>
    <row r="36" customFormat="false" ht="15" hidden="false" customHeight="false" outlineLevel="0" collapsed="false">
      <c r="A36" s="34" t="str">
        <f aca="false">Data!A36</f>
        <v>Togo</v>
      </c>
      <c r="B36" s="34" t="str">
        <f aca="false">Data!B36</f>
        <v>TGO</v>
      </c>
      <c r="C36" s="35" t="n">
        <f aca="false">Data!AB36</f>
        <v>1</v>
      </c>
      <c r="D36" s="32" t="n">
        <f aca="false">LN(MAX(Pools!R36,0.000001))</f>
        <v>1.76658990466734</v>
      </c>
      <c r="E36" s="36" t="n">
        <f aca="false">Pools!U36</f>
        <v>0.0958408772417407</v>
      </c>
      <c r="F36" s="11" t="n">
        <f aca="false">IF(Data!H36="","",MAX(0,(Inputs!$D$67-Data!H36)*100))</f>
        <v>41.9858912668935</v>
      </c>
      <c r="G36" s="11" t="n">
        <f aca="false">IF(COUNT(Data!T36,Data!U36)=0,"",AVERAGE(Data!T36,Data!U36))</f>
        <v>25.1667904778326</v>
      </c>
      <c r="H36" s="11" t="str">
        <f aca="false">IF(Data!O36="","",MIN(Inputs!$D$60,Data!O36))</f>
        <v/>
      </c>
      <c r="I36" s="11" t="n">
        <f aca="false">IF(Data!I36="","",(Data!E36-Data!I36)*100)</f>
        <v>26.5344620871594</v>
      </c>
      <c r="J36" s="11" t="n">
        <f aca="false">IF(F36="",MEDIAN(F$6:F$39),F36)</f>
        <v>41.9858912668935</v>
      </c>
      <c r="K36" s="11" t="n">
        <f aca="false">IF(G36="",MEDIAN(G$6:G$39),G36)</f>
        <v>25.1667904778326</v>
      </c>
      <c r="L36" s="11" t="n">
        <f aca="false">IF(H36="",MEDIAN(H$6:H$39),H36)</f>
        <v>2.60758279628465</v>
      </c>
      <c r="M36" s="11" t="n">
        <f aca="false">IF(I36="",MEDIAN(I$6:I$39),I36)</f>
        <v>26.5344620871594</v>
      </c>
      <c r="N36" s="11" t="n">
        <f aca="false">IF(Data!L36="",MIN(Inputs!$D$59,MEDIAN(Data!$L$6:$L$39)),MIN(Inputs!$D$59,Data!L36))</f>
        <v>80.8035554767112</v>
      </c>
      <c r="O36" s="11" t="n">
        <f aca="false">IF(Data!M36="",MEDIAN(Data!$M$6:$M$39),Data!M36)</f>
        <v>39.48320007</v>
      </c>
      <c r="P36" s="11" t="n">
        <f aca="false">IF(Data!N36="",MEDIAN(Data!$N$6:$N$39),Data!N36)</f>
        <v>61.1</v>
      </c>
      <c r="Q36" s="11" t="n">
        <f aca="false">IF(Data!K36="",MEDIAN(Data!$K$6:$K$39),Data!K36)</f>
        <v>43.8148491605996</v>
      </c>
      <c r="R36" s="11" t="n">
        <f aca="false">IF(Data!Q36="",MIN(Inputs!$D$61,MEDIAN(Data!$Q$6:$Q$39)),MIN(Inputs!$D$61,Data!Q36))</f>
        <v>5.43982667949625</v>
      </c>
      <c r="S36" s="11" t="n">
        <f aca="false">IF(Data!R36="",MAX(Inputs!$D$63,MIN(Inputs!$D$62,MEDIAN(Data!$R$6:$R$39))),MAX(Inputs!$D$63,MIN(Inputs!$D$62,Data!R36)))</f>
        <v>2.97758321341949</v>
      </c>
      <c r="T36" s="11" t="n">
        <f aca="false">IF(Data!S36="",MEDIAN(Data!$S$6:$S$39),Data!S36)</f>
        <v>6.33952679398471</v>
      </c>
      <c r="U36" s="39" t="n">
        <f aca="false">Pools!E36</f>
        <v>0.835615008409598</v>
      </c>
      <c r="V36" s="40" t="n">
        <f aca="false">Data!W36</f>
        <v>20</v>
      </c>
      <c r="W36" s="40" t="n">
        <f aca="false">Data!X36</f>
        <v>100</v>
      </c>
      <c r="X36" s="11" t="n">
        <f aca="false">IF($C36=1,100*(D36-_xlfn.MINIFS(D$6:D$39,$C$6:$C$39,1))/(_xlfn.MAXIFS(D$6:D$39,$C$6:$C$39,1)-_xlfn.MINIFS(D$6:D$39,$C$6:$C$39,1)),"")</f>
        <v>29.3670737377613</v>
      </c>
      <c r="Y36" s="11" t="n">
        <f aca="false">IF($C36=1,100*(E36-_xlfn.MINIFS(E$6:E$39,$C$6:$C$39,1))/(_xlfn.MAXIFS(E$6:E$39,$C$6:$C$39,1)-_xlfn.MINIFS(E$6:E$39,$C$6:$C$39,1)),"")</f>
        <v>30.0256923076931</v>
      </c>
      <c r="Z36" s="11" t="n">
        <f aca="false">IF($C36=1,100*(J36-_xlfn.MINIFS(J$6:J$39,$C$6:$C$39,1))/(_xlfn.MAXIFS(J$6:J$39,$C$6:$C$39,1)-_xlfn.MINIFS(J$6:J$39,$C$6:$C$39,1)),"")</f>
        <v>74.4915652014807</v>
      </c>
      <c r="AA36" s="11" t="n">
        <f aca="false">IF($C36=1,100*(L36-_xlfn.MINIFS(L$6:L$39,$C$6:$C$39,1))/(_xlfn.MAXIFS(L$6:L$39,$C$6:$C$39,1)-_xlfn.MINIFS(L$6:L$39,$C$6:$C$39,1)),"")</f>
        <v>16.1925156095167</v>
      </c>
      <c r="AB36" s="11" t="n">
        <f aca="false">IF($C36=1,100*(K36-_xlfn.MINIFS(K$6:K$39,$C$6:$C$39,1))/(_xlfn.MAXIFS(K$6:K$39,$C$6:$C$39,1)-_xlfn.MINIFS(K$6:K$39,$C$6:$C$39,1)),"")</f>
        <v>100</v>
      </c>
      <c r="AC36" s="15" t="n">
        <f aca="false">IF($C36=1,Inputs!$D$46*X36+Inputs!$D$47*Y36+Inputs!$D$48*Z36+Inputs!$D$49*AA36+Inputs!$D$50*AB36,"")</f>
        <v>44.8862263914047</v>
      </c>
      <c r="AD36" s="11" t="n">
        <f aca="false">IF($C36=1,100*(N36-_xlfn.MINIFS(N$6:N$39,$C$6:$C$39,1))/(_xlfn.MAXIFS(N$6:N$39,$C$6:$C$39,1)-_xlfn.MINIFS(N$6:N$39,$C$6:$C$39,1)),"")</f>
        <v>55.4262249261543</v>
      </c>
      <c r="AE36" s="11" t="n">
        <f aca="false">IF($C36=1,100*(O36-_xlfn.MINIFS(O$6:O$39,$C$6:$C$39,1))/(_xlfn.MAXIFS(O$6:O$39,$C$6:$C$39,1)-_xlfn.MINIFS(O$6:O$39,$C$6:$C$39,1)),"")</f>
        <v>43.9912860498423</v>
      </c>
      <c r="AF36" s="11" t="n">
        <f aca="false">IF($C36=1,100*(P36-_xlfn.MINIFS(P$6:P$39,$C$6:$C$39,1))/(_xlfn.MAXIFS(P$6:P$39,$C$6:$C$39,1)-_xlfn.MINIFS(P$6:P$39,$C$6:$C$39,1)),"")</f>
        <v>60.7643312101911</v>
      </c>
      <c r="AG36" s="11" t="n">
        <f aca="false">IF($C36=1,100*(Q36-_xlfn.MINIFS(Q$6:Q$39,$C$6:$C$39,1))/(_xlfn.MAXIFS(Q$6:Q$39,$C$6:$C$39,1)-_xlfn.MINIFS(Q$6:Q$39,$C$6:$C$39,1)),"")</f>
        <v>56.944279753014</v>
      </c>
      <c r="AH36" s="11" t="n">
        <f aca="false">IF($C36=1,AVERAGE(AD36:AG36),"")</f>
        <v>54.2815304848004</v>
      </c>
      <c r="AI36" s="11" t="n">
        <f aca="false">IF($C36=1,100*(_xlfn.MAXIFS(R$6:R$39,$C$6:$C$39,1)-R36)/(_xlfn.MAXIFS(R$6:R$39,$C$6:$C$39,1)-_xlfn.MINIFS(R$6:R$39,$C$6:$C$39,1)),"")</f>
        <v>90.3537173834784</v>
      </c>
      <c r="AJ36" s="11" t="n">
        <f aca="false">IF($C36=1,100*(_xlfn.MAXIFS(S$6:S$39,$C$6:$C$39,1)-S36)/(_xlfn.MAXIFS(S$6:S$39,$C$6:$C$39,1)-_xlfn.MINIFS(S$6:S$39,$C$6:$C$39,1)),"")</f>
        <v>90.7324673352827</v>
      </c>
      <c r="AK36" s="11" t="n">
        <f aca="false">IF($C36=1,100*(T36-_xlfn.MINIFS(T$6:T$39,$C$6:$C$39,1))/(_xlfn.MAXIFS(T$6:T$39,$C$6:$C$39,1)-_xlfn.MINIFS(T$6:T$39,$C$6:$C$39,1)),"")</f>
        <v>76.0142914852389</v>
      </c>
      <c r="AL36" s="11" t="n">
        <f aca="false">IF($C36=1,AVERAGE(AI36:AK36),"")</f>
        <v>85.7001587346667</v>
      </c>
      <c r="AM36" s="11" t="n">
        <f aca="false">IF($C36=1,100*(U36-_xlfn.MINIFS(U$6:U$39,$C$6:$C$39,1))/(_xlfn.MAXIFS(U$6:U$39,$C$6:$C$39,1)-_xlfn.MINIFS(U$6:U$39,$C$6:$C$39,1)),"")</f>
        <v>83.3838624711388</v>
      </c>
      <c r="AN36" s="11" t="n">
        <f aca="false">IF($C36=1,100*(V36-_xlfn.MINIFS(V$6:V$39,$C$6:$C$39,1))/(_xlfn.MAXIFS(V$6:V$39,$C$6:$C$39,1)-_xlfn.MINIFS(V$6:V$39,$C$6:$C$39,1)),"")</f>
        <v>0</v>
      </c>
      <c r="AO36" s="11" t="n">
        <f aca="false">IF($C36=1,100*(M36-_xlfn.MINIFS(M$6:M$39,$C$6:$C$39,1))/(_xlfn.MAXIFS(M$6:M$39,$C$6:$C$39,1)-_xlfn.MINIFS(M$6:M$39,$C$6:$C$39,1)),"")</f>
        <v>62.810499154527</v>
      </c>
      <c r="AP36" s="11" t="n">
        <f aca="false">IF($C36=1,W36,"")</f>
        <v>100</v>
      </c>
      <c r="AQ36" s="15" t="n">
        <f aca="false">IF($C36=1,Inputs!$D$52*AH36+Inputs!$D$53*AL36+Inputs!$D$54*AM36+Inputs!$D$55*AN36+Inputs!$D$56*AO36+Inputs!$D$57*AP36,"")</f>
        <v>66.784967130017</v>
      </c>
      <c r="AR36" s="12" t="n">
        <f aca="false">IF($C36=1,SQRT(AC36*AQ36),"")</f>
        <v>54.7514854057902</v>
      </c>
      <c r="AS36" s="41" t="n">
        <f aca="false">IF($C36=1,COUNTIFS($C$6:$C$39,1,$AR$6:$AR$39,"&gt;"&amp;AR36)+1,"")</f>
        <v>8</v>
      </c>
      <c r="AT36" s="13" t="n">
        <f aca="false">IF($C36=1,Inputs!$D$38+Inputs!$D$39*(1-AL36/100)+Inputs!$D$40*(1-AP36/100),"")</f>
        <v>0.125719936506133</v>
      </c>
      <c r="AU36" s="5" t="str">
        <f aca="false">IF($C36=1,IF(AC36&gt;=MEDIAN(AC$6:AC$39),IF(AQ36&gt;=MEDIAN(AQ$6:AQ$39),"Prioritise","Big but hard"),IF(AQ36&gt;=MEDIAN(AQ$6:AQ$39),"Easy but small","Deprioritise")),"")</f>
        <v>Easy but small</v>
      </c>
    </row>
    <row r="37" customFormat="false" ht="15" hidden="false" customHeight="false" outlineLevel="0" collapsed="false">
      <c r="A37" s="34" t="str">
        <f aca="false">Data!A37</f>
        <v>Uganda</v>
      </c>
      <c r="B37" s="34" t="str">
        <f aca="false">Data!B37</f>
        <v>UGA</v>
      </c>
      <c r="C37" s="35" t="n">
        <f aca="false">Data!AB37</f>
        <v>1</v>
      </c>
      <c r="D37" s="32" t="n">
        <f aca="false">LN(MAX(Pools!R37,0.000001))</f>
        <v>3.35447637796441</v>
      </c>
      <c r="E37" s="36" t="n">
        <f aca="false">Pools!U37</f>
        <v>0.0692105592740042</v>
      </c>
      <c r="F37" s="11" t="n">
        <f aca="false">IF(Data!H37="","",MAX(0,(Inputs!$D$67-Data!H37)*100))</f>
        <v>44.0859940954564</v>
      </c>
      <c r="G37" s="11" t="n">
        <f aca="false">IF(COUNT(Data!T37,Data!U37)=0,"",AVERAGE(Data!T37,Data!U37))</f>
        <v>12.7553251489626</v>
      </c>
      <c r="H37" s="11" t="n">
        <f aca="false">IF(Data!O37="","",MIN(Inputs!$D$60,Data!O37))</f>
        <v>2.65140809528268</v>
      </c>
      <c r="I37" s="11" t="n">
        <f aca="false">IF(Data!I37="","",(Data!E37-Data!I37)*100)</f>
        <v>17.1570525222626</v>
      </c>
      <c r="J37" s="11" t="n">
        <f aca="false">IF(F37="",MEDIAN(F$6:F$39),F37)</f>
        <v>44.0859940954564</v>
      </c>
      <c r="K37" s="11" t="n">
        <f aca="false">IF(G37="",MEDIAN(G$6:G$39),G37)</f>
        <v>12.7553251489626</v>
      </c>
      <c r="L37" s="11" t="n">
        <f aca="false">IF(H37="",MEDIAN(H$6:H$39),H37)</f>
        <v>2.65140809528268</v>
      </c>
      <c r="M37" s="11" t="n">
        <f aca="false">IF(I37="",MEDIAN(I$6:I$39),I37)</f>
        <v>17.1570525222626</v>
      </c>
      <c r="N37" s="11" t="n">
        <f aca="false">IF(Data!L37="",MIN(Inputs!$D$59,MEDIAN(Data!$L$6:$L$39)),MIN(Inputs!$D$59,Data!L37))</f>
        <v>83.165031466902</v>
      </c>
      <c r="O37" s="11" t="n">
        <f aca="false">IF(Data!M37="",MEDIAN(Data!$M$6:$M$39),Data!M37)</f>
        <v>8.949831061</v>
      </c>
      <c r="P37" s="11" t="n">
        <f aca="false">IF(Data!N37="",MEDIAN(Data!$N$6:$N$39),Data!N37)</f>
        <v>55.3</v>
      </c>
      <c r="Q37" s="11" t="n">
        <f aca="false">IF(Data!K37="",MEDIAN(Data!$K$6:$K$39),Data!K37)</f>
        <v>31.2777698213557</v>
      </c>
      <c r="R37" s="11" t="n">
        <f aca="false">IF(Data!Q37="",MIN(Inputs!$D$61,MEDIAN(Data!$Q$6:$Q$39)),MIN(Inputs!$D$61,Data!Q37))</f>
        <v>5.29003907982674</v>
      </c>
      <c r="S37" s="11" t="n">
        <f aca="false">IF(Data!R37="",MAX(Inputs!$D$63,MIN(Inputs!$D$62,MEDIAN(Data!$R$6:$R$39))),MAX(Inputs!$D$63,MIN(Inputs!$D$62,Data!R37)))</f>
        <v>1.54533431681448</v>
      </c>
      <c r="T37" s="11" t="n">
        <f aca="false">IF(Data!S37="",MEDIAN(Data!$S$6:$S$39),Data!S37)</f>
        <v>5.32685854522944</v>
      </c>
      <c r="U37" s="39" t="n">
        <f aca="false">Pools!E37</f>
        <v>0.930121327559697</v>
      </c>
      <c r="V37" s="40" t="n">
        <f aca="false">Data!W37</f>
        <v>100</v>
      </c>
      <c r="W37" s="40" t="n">
        <f aca="false">Data!X37</f>
        <v>100</v>
      </c>
      <c r="X37" s="11" t="n">
        <f aca="false">IF($C37=1,100*(D37-_xlfn.MINIFS(D$6:D$39,$C$6:$C$39,1))/(_xlfn.MAXIFS(D$6:D$39,$C$6:$C$39,1)-_xlfn.MINIFS(D$6:D$39,$C$6:$C$39,1)),"")</f>
        <v>67.6296318183494</v>
      </c>
      <c r="Y37" s="11" t="n">
        <f aca="false">IF($C37=1,100*(E37-_xlfn.MINIFS(E$6:E$39,$C$6:$C$39,1))/(_xlfn.MAXIFS(E$6:E$39,$C$6:$C$39,1)-_xlfn.MINIFS(E$6:E$39,$C$6:$C$39,1)),"")</f>
        <v>14.2161280634085</v>
      </c>
      <c r="Z37" s="11" t="n">
        <f aca="false">IF($C37=1,100*(J37-_xlfn.MINIFS(J$6:J$39,$C$6:$C$39,1))/(_xlfn.MAXIFS(J$6:J$39,$C$6:$C$39,1)-_xlfn.MINIFS(J$6:J$39,$C$6:$C$39,1)),"")</f>
        <v>79.2101886032226</v>
      </c>
      <c r="AA37" s="11" t="n">
        <f aca="false">IF($C37=1,100*(L37-_xlfn.MINIFS(L$6:L$39,$C$6:$C$39,1))/(_xlfn.MAXIFS(L$6:L$39,$C$6:$C$39,1)-_xlfn.MINIFS(L$6:L$39,$C$6:$C$39,1)),"")</f>
        <v>16.4888975018714</v>
      </c>
      <c r="AB37" s="11" t="n">
        <f aca="false">IF($C37=1,100*(K37-_xlfn.MINIFS(K$6:K$39,$C$6:$C$39,1))/(_xlfn.MAXIFS(K$6:K$39,$C$6:$C$39,1)-_xlfn.MINIFS(K$6:K$39,$C$6:$C$39,1)),"")</f>
        <v>43.655376920944</v>
      </c>
      <c r="AC37" s="15" t="n">
        <f aca="false">IF($C37=1,Inputs!$D$46*X37+Inputs!$D$47*Y37+Inputs!$D$48*Z37+Inputs!$D$49*AA37+Inputs!$D$50*AB37,"")</f>
        <v>47.4167662030097</v>
      </c>
      <c r="AD37" s="11" t="n">
        <f aca="false">IF($C37=1,100*(N37-_xlfn.MINIFS(N$6:N$39,$C$6:$C$39,1))/(_xlfn.MAXIFS(N$6:N$39,$C$6:$C$39,1)-_xlfn.MINIFS(N$6:N$39,$C$6:$C$39,1)),"")</f>
        <v>58.1116700196886</v>
      </c>
      <c r="AE37" s="11" t="n">
        <f aca="false">IF($C37=1,100*(O37-_xlfn.MINIFS(O$6:O$39,$C$6:$C$39,1))/(_xlfn.MAXIFS(O$6:O$39,$C$6:$C$39,1)-_xlfn.MINIFS(O$6:O$39,$C$6:$C$39,1)),"")</f>
        <v>0</v>
      </c>
      <c r="AF37" s="11" t="n">
        <f aca="false">IF($C37=1,100*(P37-_xlfn.MINIFS(P$6:P$39,$C$6:$C$39,1))/(_xlfn.MAXIFS(P$6:P$39,$C$6:$C$39,1)-_xlfn.MINIFS(P$6:P$39,$C$6:$C$39,1)),"")</f>
        <v>53.375796178344</v>
      </c>
      <c r="AG37" s="11" t="n">
        <f aca="false">IF($C37=1,100*(Q37-_xlfn.MINIFS(Q$6:Q$39,$C$6:$C$39,1))/(_xlfn.MAXIFS(Q$6:Q$39,$C$6:$C$39,1)-_xlfn.MINIFS(Q$6:Q$39,$C$6:$C$39,1)),"")</f>
        <v>30.0511260531941</v>
      </c>
      <c r="AH37" s="11" t="n">
        <f aca="false">IF($C37=1,AVERAGE(AD37:AG37),"")</f>
        <v>35.3846480628067</v>
      </c>
      <c r="AI37" s="11" t="n">
        <f aca="false">IF($C37=1,100*(_xlfn.MAXIFS(R$6:R$39,$C$6:$C$39,1)-R37)/(_xlfn.MAXIFS(R$6:R$39,$C$6:$C$39,1)-_xlfn.MINIFS(R$6:R$39,$C$6:$C$39,1)),"")</f>
        <v>90.7453203515127</v>
      </c>
      <c r="AJ37" s="11" t="n">
        <f aca="false">IF($C37=1,100*(_xlfn.MAXIFS(S$6:S$39,$C$6:$C$39,1)-S37)/(_xlfn.MAXIFS(S$6:S$39,$C$6:$C$39,1)-_xlfn.MINIFS(S$6:S$39,$C$6:$C$39,1)),"")</f>
        <v>94.2425427843364</v>
      </c>
      <c r="AK37" s="11" t="n">
        <f aca="false">IF($C37=1,100*(T37-_xlfn.MINIFS(T$6:T$39,$C$6:$C$39,1))/(_xlfn.MAXIFS(T$6:T$39,$C$6:$C$39,1)-_xlfn.MINIFS(T$6:T$39,$C$6:$C$39,1)),"")</f>
        <v>61.2294493229009</v>
      </c>
      <c r="AL37" s="11" t="n">
        <f aca="false">IF($C37=1,AVERAGE(AI37:AK37),"")</f>
        <v>82.07243748625</v>
      </c>
      <c r="AM37" s="11" t="n">
        <f aca="false">IF($C37=1,100*(U37-_xlfn.MINIFS(U$6:U$39,$C$6:$C$39,1))/(_xlfn.MAXIFS(U$6:U$39,$C$6:$C$39,1)-_xlfn.MINIFS(U$6:U$39,$C$6:$C$39,1)),"")</f>
        <v>95.6587169304604</v>
      </c>
      <c r="AN37" s="11" t="n">
        <f aca="false">IF($C37=1,100*(V37-_xlfn.MINIFS(V$6:V$39,$C$6:$C$39,1))/(_xlfn.MAXIFS(V$6:V$39,$C$6:$C$39,1)-_xlfn.MINIFS(V$6:V$39,$C$6:$C$39,1)),"")</f>
        <v>100</v>
      </c>
      <c r="AO37" s="11" t="n">
        <f aca="false">IF($C37=1,100*(M37-_xlfn.MINIFS(M$6:M$39,$C$6:$C$39,1))/(_xlfn.MAXIFS(M$6:M$39,$C$6:$C$39,1)-_xlfn.MINIFS(M$6:M$39,$C$6:$C$39,1)),"")</f>
        <v>44.2793780668678</v>
      </c>
      <c r="AP37" s="11" t="n">
        <f aca="false">IF($C37=1,W37,"")</f>
        <v>100</v>
      </c>
      <c r="AQ37" s="15" t="n">
        <f aca="false">IF($C37=1,Inputs!$D$52*AH37+Inputs!$D$53*AL37+Inputs!$D$54*AM37+Inputs!$D$55*AN37+Inputs!$D$56*AO37+Inputs!$D$57*AP37,"")</f>
        <v>77.2681624560672</v>
      </c>
      <c r="AR37" s="12" t="n">
        <f aca="false">IF($C37=1,SQRT(AC37*AQ37),"")</f>
        <v>60.5293845509395</v>
      </c>
      <c r="AS37" s="41" t="n">
        <f aca="false">IF($C37=1,COUNTIFS($C$6:$C$39,1,$AR$6:$AR$39,"&gt;"&amp;AR37)+1,"")</f>
        <v>3</v>
      </c>
      <c r="AT37" s="13" t="n">
        <f aca="false">IF($C37=1,Inputs!$D$38+Inputs!$D$39*(1-AL37/100)+Inputs!$D$40*(1-AP37/100),"")</f>
        <v>0.1271710250055</v>
      </c>
      <c r="AU37" s="5" t="str">
        <f aca="false">IF($C37=1,IF(AC37&gt;=MEDIAN(AC$6:AC$39),IF(AQ37&gt;=MEDIAN(AQ$6:AQ$39),"Prioritise","Big but hard"),IF(AQ37&gt;=MEDIAN(AQ$6:AQ$39),"Easy but small","Deprioritise")),"")</f>
        <v>Prioritise</v>
      </c>
    </row>
    <row r="38" customFormat="false" ht="15" hidden="false" customHeight="false" outlineLevel="0" collapsed="false">
      <c r="A38" s="34" t="str">
        <f aca="false">Data!A38</f>
        <v>Zambia</v>
      </c>
      <c r="B38" s="34" t="str">
        <f aca="false">Data!B38</f>
        <v>ZMB</v>
      </c>
      <c r="C38" s="35" t="n">
        <f aca="false">Data!AB38</f>
        <v>1</v>
      </c>
      <c r="D38" s="32" t="n">
        <f aca="false">LN(MAX(Pools!R38,0.000001))</f>
        <v>2.63955933414384</v>
      </c>
      <c r="E38" s="36" t="n">
        <f aca="false">Pools!U38</f>
        <v>0.0674916680541371</v>
      </c>
      <c r="F38" s="11" t="n">
        <f aca="false">IF(Data!H38="","",MAX(0,(Inputs!$D$67-Data!H38)*100))</f>
        <v>36.5603635681613</v>
      </c>
      <c r="G38" s="11" t="n">
        <f aca="false">IF(COUNT(Data!T38,Data!U38)=0,"",AVERAGE(Data!T38,Data!U38))</f>
        <v>16.4283981728453</v>
      </c>
      <c r="H38" s="11" t="n">
        <f aca="false">IF(Data!O38="","",MIN(Inputs!$D$60,Data!O38))</f>
        <v>1.32123122514255</v>
      </c>
      <c r="I38" s="11" t="n">
        <f aca="false">IF(Data!I38="","",(Data!E38-Data!I38)*100)</f>
        <v>41.4683594769643</v>
      </c>
      <c r="J38" s="11" t="n">
        <f aca="false">IF(F38="",MEDIAN(F$6:F$39),F38)</f>
        <v>36.5603635681613</v>
      </c>
      <c r="K38" s="11" t="n">
        <f aca="false">IF(G38="",MEDIAN(G$6:G$39),G38)</f>
        <v>16.4283981728453</v>
      </c>
      <c r="L38" s="11" t="n">
        <f aca="false">IF(H38="",MEDIAN(H$6:H$39),H38)</f>
        <v>1.32123122514255</v>
      </c>
      <c r="M38" s="11" t="n">
        <f aca="false">IF(I38="",MEDIAN(I$6:I$39),I38)</f>
        <v>41.4683594769643</v>
      </c>
      <c r="N38" s="11" t="n">
        <f aca="false">IF(Data!L38="",MIN(Inputs!$D$59,MEDIAN(Data!$L$6:$L$39)),MIN(Inputs!$D$59,Data!L38))</f>
        <v>108.704779873813</v>
      </c>
      <c r="O38" s="11" t="n">
        <f aca="false">IF(Data!M38="",MEDIAN(Data!$M$6:$M$39),Data!M38)</f>
        <v>17.10099983</v>
      </c>
      <c r="P38" s="11" t="n">
        <f aca="false">IF(Data!N38="",MEDIAN(Data!$N$6:$N$39),Data!N38)</f>
        <v>53.6</v>
      </c>
      <c r="Q38" s="11" t="n">
        <f aca="false">IF(Data!K38="",MEDIAN(Data!$K$6:$K$39),Data!K38)</f>
        <v>45.4703838491279</v>
      </c>
      <c r="R38" s="11" t="n">
        <f aca="false">IF(Data!Q38="",MIN(Inputs!$D$61,MEDIAN(Data!$Q$6:$Q$39)),MIN(Inputs!$D$61,Data!Q38))</f>
        <v>12.2877872956631</v>
      </c>
      <c r="S38" s="11" t="n">
        <f aca="false">IF(Data!R38="",MAX(Inputs!$D$63,MIN(Inputs!$D$62,MEDIAN(Data!$R$6:$R$39))),MAX(Inputs!$D$63,MIN(Inputs!$D$62,Data!R38)))</f>
        <v>8.92735546916958</v>
      </c>
      <c r="T38" s="11" t="n">
        <f aca="false">IF(Data!S38="",MEDIAN(Data!$S$6:$S$39),Data!S38)</f>
        <v>4.79973823789299</v>
      </c>
      <c r="U38" s="39" t="n">
        <f aca="false">Pools!E38</f>
        <v>0.953348552981018</v>
      </c>
      <c r="V38" s="40" t="n">
        <f aca="false">Data!W38</f>
        <v>60</v>
      </c>
      <c r="W38" s="40" t="n">
        <f aca="false">Data!X38</f>
        <v>100</v>
      </c>
      <c r="X38" s="11" t="n">
        <f aca="false">IF($C38=1,100*(D38-_xlfn.MINIFS(D$6:D$39,$C$6:$C$39,1))/(_xlfn.MAXIFS(D$6:D$39,$C$6:$C$39,1)-_xlfn.MINIFS(D$6:D$39,$C$6:$C$39,1)),"")</f>
        <v>50.4026100053931</v>
      </c>
      <c r="Y38" s="11" t="n">
        <f aca="false">IF($C38=1,100*(E38-_xlfn.MINIFS(E$6:E$39,$C$6:$C$39,1))/(_xlfn.MAXIFS(E$6:E$39,$C$6:$C$39,1)-_xlfn.MINIFS(E$6:E$39,$C$6:$C$39,1)),"")</f>
        <v>13.1956775677611</v>
      </c>
      <c r="Z38" s="11" t="n">
        <f aca="false">IF($C38=1,100*(J38-_xlfn.MINIFS(J$6:J$39,$C$6:$C$39,1))/(_xlfn.MAXIFS(J$6:J$39,$C$6:$C$39,1)-_xlfn.MINIFS(J$6:J$39,$C$6:$C$39,1)),"")</f>
        <v>62.3011992737535</v>
      </c>
      <c r="AA38" s="11" t="n">
        <f aca="false">IF($C38=1,100*(L38-_xlfn.MINIFS(L$6:L$39,$C$6:$C$39,1))/(_xlfn.MAXIFS(L$6:L$39,$C$6:$C$39,1)-_xlfn.MINIFS(L$6:L$39,$C$6:$C$39,1)),"")</f>
        <v>7.49317249937323</v>
      </c>
      <c r="AB38" s="11" t="n">
        <f aca="false">IF($C38=1,100*(K38-_xlfn.MINIFS(K$6:K$39,$C$6:$C$39,1))/(_xlfn.MAXIFS(K$6:K$39,$C$6:$C$39,1)-_xlfn.MINIFS(K$6:K$39,$C$6:$C$39,1)),"")</f>
        <v>60.3301135123698</v>
      </c>
      <c r="AC38" s="15" t="n">
        <f aca="false">IF($C38=1,Inputs!$D$46*X38+Inputs!$D$47*Y38+Inputs!$D$48*Z38+Inputs!$D$49*AA38+Inputs!$D$50*AB38,"")</f>
        <v>39.7987218082643</v>
      </c>
      <c r="AD38" s="11" t="n">
        <f aca="false">IF($C38=1,100*(N38-_xlfn.MINIFS(N$6:N$39,$C$6:$C$39,1))/(_xlfn.MAXIFS(N$6:N$39,$C$6:$C$39,1)-_xlfn.MINIFS(N$6:N$39,$C$6:$C$39,1)),"")</f>
        <v>87.1551971757261</v>
      </c>
      <c r="AE38" s="11" t="n">
        <f aca="false">IF($C38=1,100*(O38-_xlfn.MINIFS(O$6:O$39,$C$6:$C$39,1))/(_xlfn.MAXIFS(O$6:O$39,$C$6:$C$39,1)-_xlfn.MINIFS(O$6:O$39,$C$6:$C$39,1)),"")</f>
        <v>11.7438857419214</v>
      </c>
      <c r="AF38" s="11" t="n">
        <f aca="false">IF($C38=1,100*(P38-_xlfn.MINIFS(P$6:P$39,$C$6:$C$39,1))/(_xlfn.MAXIFS(P$6:P$39,$C$6:$C$39,1)-_xlfn.MINIFS(P$6:P$39,$C$6:$C$39,1)),"")</f>
        <v>51.2101910828026</v>
      </c>
      <c r="AG38" s="11" t="n">
        <f aca="false">IF($C38=1,100*(Q38-_xlfn.MINIFS(Q$6:Q$39,$C$6:$C$39,1))/(_xlfn.MAXIFS(Q$6:Q$39,$C$6:$C$39,1)-_xlfn.MINIFS(Q$6:Q$39,$C$6:$C$39,1)),"")</f>
        <v>60.4955493612879</v>
      </c>
      <c r="AH38" s="11" t="n">
        <f aca="false">IF($C38=1,AVERAGE(AD38:AG38),"")</f>
        <v>52.6512058404345</v>
      </c>
      <c r="AI38" s="11" t="n">
        <f aca="false">IF($C38=1,100*(_xlfn.MAXIFS(R$6:R$39,$C$6:$C$39,1)-R38)/(_xlfn.MAXIFS(R$6:R$39,$C$6:$C$39,1)-_xlfn.MINIFS(R$6:R$39,$C$6:$C$39,1)),"")</f>
        <v>72.4504883565786</v>
      </c>
      <c r="AJ38" s="11" t="n">
        <f aca="false">IF($C38=1,100*(_xlfn.MAXIFS(S$6:S$39,$C$6:$C$39,1)-S38)/(_xlfn.MAXIFS(S$6:S$39,$C$6:$C$39,1)-_xlfn.MINIFS(S$6:S$39,$C$6:$C$39,1)),"")</f>
        <v>76.1510984322432</v>
      </c>
      <c r="AK38" s="11" t="n">
        <f aca="false">IF($C38=1,100*(T38-_xlfn.MINIFS(T$6:T$39,$C$6:$C$39,1))/(_xlfn.MAXIFS(T$6:T$39,$C$6:$C$39,1)-_xlfn.MINIFS(T$6:T$39,$C$6:$C$39,1)),"")</f>
        <v>53.5335523160462</v>
      </c>
      <c r="AL38" s="11" t="n">
        <f aca="false">IF($C38=1,AVERAGE(AI38:AK38),"")</f>
        <v>67.3783797016226</v>
      </c>
      <c r="AM38" s="11" t="n">
        <f aca="false">IF($C38=1,100*(U38-_xlfn.MINIFS(U$6:U$39,$C$6:$C$39,1))/(_xlfn.MAXIFS(U$6:U$39,$C$6:$C$39,1)-_xlfn.MINIFS(U$6:U$39,$C$6:$C$39,1)),"")</f>
        <v>98.6755608209493</v>
      </c>
      <c r="AN38" s="11" t="n">
        <f aca="false">IF($C38=1,100*(V38-_xlfn.MINIFS(V$6:V$39,$C$6:$C$39,1))/(_xlfn.MAXIFS(V$6:V$39,$C$6:$C$39,1)-_xlfn.MINIFS(V$6:V$39,$C$6:$C$39,1)),"")</f>
        <v>50</v>
      </c>
      <c r="AO38" s="11" t="n">
        <f aca="false">IF($C38=1,100*(M38-_xlfn.MINIFS(M$6:M$39,$C$6:$C$39,1))/(_xlfn.MAXIFS(M$6:M$39,$C$6:$C$39,1)-_xlfn.MINIFS(M$6:M$39,$C$6:$C$39,1)),"")</f>
        <v>92.3220459122907</v>
      </c>
      <c r="AP38" s="11" t="n">
        <f aca="false">IF($C38=1,W38,"")</f>
        <v>100</v>
      </c>
      <c r="AQ38" s="15" t="n">
        <f aca="false">IF($C38=1,Inputs!$D$52*AH38+Inputs!$D$53*AL38+Inputs!$D$54*AM38+Inputs!$D$55*AN38+Inputs!$D$56*AO38+Inputs!$D$57*AP38,"")</f>
        <v>75.5394558227829</v>
      </c>
      <c r="AR38" s="12" t="n">
        <f aca="false">IF($C38=1,SQRT(AC38*AQ38),"")</f>
        <v>54.830409334954</v>
      </c>
      <c r="AS38" s="41" t="n">
        <f aca="false">IF($C38=1,COUNTIFS($C$6:$C$39,1,$AR$6:$AR$39,"&gt;"&amp;AR38)+1,"")</f>
        <v>7</v>
      </c>
      <c r="AT38" s="13" t="n">
        <f aca="false">IF($C38=1,Inputs!$D$38+Inputs!$D$39*(1-AL38/100)+Inputs!$D$40*(1-AP38/100),"")</f>
        <v>0.133048648119351</v>
      </c>
      <c r="AU38" s="5" t="str">
        <f aca="false">IF($C38=1,IF(AC38&gt;=MEDIAN(AC$6:AC$39),IF(AQ38&gt;=MEDIAN(AQ$6:AQ$39),"Prioritise","Big but hard"),IF(AQ38&gt;=MEDIAN(AQ$6:AQ$39),"Easy but small","Deprioritise")),"")</f>
        <v>Easy but small</v>
      </c>
    </row>
    <row r="39" customFormat="false" ht="15" hidden="false" customHeight="false" outlineLevel="0" collapsed="false">
      <c r="A39" s="34" t="str">
        <f aca="false">Data!A39</f>
        <v>Zimbabwe</v>
      </c>
      <c r="B39" s="34" t="str">
        <f aca="false">Data!B39</f>
        <v>ZWE</v>
      </c>
      <c r="C39" s="35" t="n">
        <f aca="false">Data!AB39</f>
        <v>1</v>
      </c>
      <c r="D39" s="32" t="n">
        <f aca="false">LN(MAX(Pools!R39,0.000001))</f>
        <v>2.47766575638435</v>
      </c>
      <c r="E39" s="36" t="n">
        <f aca="false">Pools!U39</f>
        <v>0.100084496456626</v>
      </c>
      <c r="F39" s="11" t="n">
        <f aca="false">IF(Data!H39="","",MAX(0,(Inputs!$D$67-Data!H39)*100))</f>
        <v>26.6585173071234</v>
      </c>
      <c r="G39" s="11" t="n">
        <f aca="false">IF(COUNT(Data!T39,Data!U39)=0,"",AVERAGE(Data!T39,Data!U39))</f>
        <v>11.2001974412196</v>
      </c>
      <c r="H39" s="11" t="n">
        <f aca="false">IF(Data!O39="","",MIN(Inputs!$D$60,Data!O39))</f>
        <v>8.45310225048767</v>
      </c>
      <c r="I39" s="11" t="n">
        <f aca="false">IF(Data!I39="","",(Data!E39-Data!I39)*100)</f>
        <v>-5.2498953060826</v>
      </c>
      <c r="J39" s="11" t="n">
        <f aca="false">IF(F39="",MEDIAN(F$6:F$39),F39)</f>
        <v>26.6585173071234</v>
      </c>
      <c r="K39" s="11" t="n">
        <f aca="false">IF(G39="",MEDIAN(G$6:G$39),G39)</f>
        <v>11.2001974412196</v>
      </c>
      <c r="L39" s="11" t="n">
        <f aca="false">IF(H39="",MEDIAN(H$6:H$39),H39)</f>
        <v>8.45310225048767</v>
      </c>
      <c r="M39" s="11" t="n">
        <f aca="false">IF(I39="",MEDIAN(I$6:I$39),I39)</f>
        <v>-5.2498953060826</v>
      </c>
      <c r="N39" s="11" t="n">
        <f aca="false">IF(Data!L39="",MIN(Inputs!$D$59,MEDIAN(Data!$L$6:$L$39)),MIN(Inputs!$D$59,Data!L39))</f>
        <v>94.2451753366358</v>
      </c>
      <c r="O39" s="11" t="n">
        <f aca="false">IF(Data!M39="",MEDIAN(Data!$M$6:$M$39),Data!M39)</f>
        <v>41.64279938</v>
      </c>
      <c r="P39" s="11" t="n">
        <f aca="false">IF(Data!N39="",MEDIAN(Data!$N$6:$N$39),Data!N39)</f>
        <v>62</v>
      </c>
      <c r="Q39" s="11" t="n">
        <f aca="false">IF(Data!K39="",MEDIAN(Data!$K$6:$K$39),Data!K39)</f>
        <v>39.8933716820696</v>
      </c>
      <c r="R39" s="11" t="n">
        <f aca="false">IF(Data!Q39="",MIN(Inputs!$D$61,MEDIAN(Data!$Q$6:$Q$39)),MIN(Inputs!$D$61,Data!Q39))</f>
        <v>40</v>
      </c>
      <c r="S39" s="11" t="n">
        <f aca="false">IF(Data!R39="",MAX(Inputs!$D$63,MIN(Inputs!$D$62,MEDIAN(Data!$R$6:$R$39))),MAX(Inputs!$D$63,MIN(Inputs!$D$62,Data!R39)))</f>
        <v>40</v>
      </c>
      <c r="T39" s="11" t="n">
        <f aca="false">IF(Data!S39="",MEDIAN(Data!$S$6:$S$39),Data!S39)</f>
        <v>4.38887553863352</v>
      </c>
      <c r="U39" s="39" t="n">
        <f aca="false">Pools!E39</f>
        <v>0.875006770720019</v>
      </c>
      <c r="V39" s="40" t="n">
        <f aca="false">Data!W39</f>
        <v>20</v>
      </c>
      <c r="W39" s="40" t="n">
        <f aca="false">Data!X39</f>
        <v>40</v>
      </c>
      <c r="X39" s="11" t="n">
        <f aca="false">IF($C39=1,100*(D39-_xlfn.MINIFS(D$6:D$39,$C$6:$C$39,1))/(_xlfn.MAXIFS(D$6:D$39,$C$6:$C$39,1)-_xlfn.MINIFS(D$6:D$39,$C$6:$C$39,1)),"")</f>
        <v>46.5015361401851</v>
      </c>
      <c r="Y39" s="11" t="n">
        <f aca="false">IF($C39=1,100*(E39-_xlfn.MINIFS(E$6:E$39,$C$6:$C$39,1))/(_xlfn.MAXIFS(E$6:E$39,$C$6:$C$39,1)-_xlfn.MINIFS(E$6:E$39,$C$6:$C$39,1)),"")</f>
        <v>32.5449927038539</v>
      </c>
      <c r="Z39" s="11" t="n">
        <f aca="false">IF($C39=1,100*(J39-_xlfn.MINIFS(J$6:J$39,$C$6:$C$39,1))/(_xlfn.MAXIFS(J$6:J$39,$C$6:$C$39,1)-_xlfn.MINIFS(J$6:J$39,$C$6:$C$39,1)),"")</f>
        <v>40.0532012936943</v>
      </c>
      <c r="AA39" s="11" t="n">
        <f aca="false">IF($C39=1,100*(L39-_xlfn.MINIFS(L$6:L$39,$C$6:$C$39,1))/(_xlfn.MAXIFS(L$6:L$39,$C$6:$C$39,1)-_xlfn.MINIFS(L$6:L$39,$C$6:$C$39,1)),"")</f>
        <v>55.7246159543559</v>
      </c>
      <c r="AB39" s="11" t="n">
        <f aca="false">IF($C39=1,100*(K39-_xlfn.MINIFS(K$6:K$39,$C$6:$C$39,1))/(_xlfn.MAXIFS(K$6:K$39,$C$6:$C$39,1)-_xlfn.MINIFS(K$6:K$39,$C$6:$C$39,1)),"")</f>
        <v>36.5955268379119</v>
      </c>
      <c r="AC39" s="15" t="n">
        <f aca="false">IF($C39=1,Inputs!$D$46*X39+Inputs!$D$47*Y39+Inputs!$D$48*Z39+Inputs!$D$49*AA39+Inputs!$D$50*AB39,"")</f>
        <v>42.6405378027299</v>
      </c>
      <c r="AD39" s="11" t="n">
        <f aca="false">IF($C39=1,100*(N39-_xlfn.MINIFS(N$6:N$39,$C$6:$C$39,1))/(_xlfn.MAXIFS(N$6:N$39,$C$6:$C$39,1)-_xlfn.MINIFS(N$6:N$39,$C$6:$C$39,1)),"")</f>
        <v>70.7118904387095</v>
      </c>
      <c r="AE39" s="11" t="n">
        <f aca="false">IF($C39=1,100*(O39-_xlfn.MINIFS(O$6:O$39,$C$6:$C$39,1))/(_xlfn.MAXIFS(O$6:O$39,$C$6:$C$39,1)-_xlfn.MINIFS(O$6:O$39,$C$6:$C$39,1)),"")</f>
        <v>47.1027524252445</v>
      </c>
      <c r="AF39" s="11" t="n">
        <f aca="false">IF($C39=1,100*(P39-_xlfn.MINIFS(P$6:P$39,$C$6:$C$39,1))/(_xlfn.MAXIFS(P$6:P$39,$C$6:$C$39,1)-_xlfn.MINIFS(P$6:P$39,$C$6:$C$39,1)),"")</f>
        <v>61.9108280254777</v>
      </c>
      <c r="AG39" s="11" t="n">
        <f aca="false">IF($C39=1,100*(Q39-_xlfn.MINIFS(Q$6:Q$39,$C$6:$C$39,1))/(_xlfn.MAXIFS(Q$6:Q$39,$C$6:$C$39,1)-_xlfn.MINIFS(Q$6:Q$39,$C$6:$C$39,1)),"")</f>
        <v>48.532360700195</v>
      </c>
      <c r="AH39" s="11" t="n">
        <f aca="false">IF($C39=1,AVERAGE(AD39:AG39),"")</f>
        <v>57.0644578974067</v>
      </c>
      <c r="AI39" s="11" t="n">
        <f aca="false">IF($C39=1,100*(_xlfn.MAXIFS(R$6:R$39,$C$6:$C$39,1)-R39)/(_xlfn.MAXIFS(R$6:R$39,$C$6:$C$39,1)-_xlfn.MINIFS(R$6:R$39,$C$6:$C$39,1)),"")</f>
        <v>0</v>
      </c>
      <c r="AJ39" s="11" t="n">
        <f aca="false">IF($C39=1,100*(_xlfn.MAXIFS(S$6:S$39,$C$6:$C$39,1)-S39)/(_xlfn.MAXIFS(S$6:S$39,$C$6:$C$39,1)-_xlfn.MINIFS(S$6:S$39,$C$6:$C$39,1)),"")</f>
        <v>0</v>
      </c>
      <c r="AK39" s="11" t="n">
        <f aca="false">IF($C39=1,100*(T39-_xlfn.MINIFS(T$6:T$39,$C$6:$C$39,1))/(_xlfn.MAXIFS(T$6:T$39,$C$6:$C$39,1)-_xlfn.MINIFS(T$6:T$39,$C$6:$C$39,1)),"")</f>
        <v>47.5350032686064</v>
      </c>
      <c r="AL39" s="11" t="n">
        <f aca="false">IF($C39=1,AVERAGE(AI39:AK39),"")</f>
        <v>15.8450010895355</v>
      </c>
      <c r="AM39" s="11" t="n">
        <f aca="false">IF($C39=1,100*(U39-_xlfn.MINIFS(U$6:U$39,$C$6:$C$39,1))/(_xlfn.MAXIFS(U$6:U$39,$C$6:$C$39,1)-_xlfn.MINIFS(U$6:U$39,$C$6:$C$39,1)),"")</f>
        <v>88.5002203359356</v>
      </c>
      <c r="AN39" s="11" t="n">
        <f aca="false">IF($C39=1,100*(V39-_xlfn.MINIFS(V$6:V$39,$C$6:$C$39,1))/(_xlfn.MAXIFS(V$6:V$39,$C$6:$C$39,1)-_xlfn.MINIFS(V$6:V$39,$C$6:$C$39,1)),"")</f>
        <v>0</v>
      </c>
      <c r="AO39" s="11" t="n">
        <f aca="false">IF($C39=1,100*(M39-_xlfn.MINIFS(M$6:M$39,$C$6:$C$39,1))/(_xlfn.MAXIFS(M$6:M$39,$C$6:$C$39,1)-_xlfn.MINIFS(M$6:M$39,$C$6:$C$39,1)),"")</f>
        <v>0</v>
      </c>
      <c r="AP39" s="11" t="n">
        <f aca="false">IF($C39=1,W39,"")</f>
        <v>40</v>
      </c>
      <c r="AQ39" s="15" t="n">
        <f aca="false">IF($C39=1,Inputs!$D$52*AH39+Inputs!$D$53*AL39+Inputs!$D$54*AM39+Inputs!$D$55*AN39+Inputs!$D$56*AO39+Inputs!$D$57*AP39,"")</f>
        <v>35.8569248477788</v>
      </c>
      <c r="AR39" s="12" t="n">
        <f aca="false">IF($C39=1,SQRT(AC39*AQ39),"")</f>
        <v>39.1018996912088</v>
      </c>
      <c r="AS39" s="41" t="n">
        <f aca="false">IF($C39=1,COUNTIFS($C$6:$C$39,1,$AR$6:$AR$39,"&gt;"&amp;AR39)+1,"")</f>
        <v>24</v>
      </c>
      <c r="AT39" s="13" t="n">
        <f aca="false">IF($C39=1,Inputs!$D$38+Inputs!$D$39*(1-AL39/100)+Inputs!$D$40*(1-AP39/100),"")</f>
        <v>0.177661999564186</v>
      </c>
      <c r="AU39" s="5" t="str">
        <f aca="false">IF($C39=1,IF(AC39&gt;=MEDIAN(AC$6:AC$39),IF(AQ39&gt;=MEDIAN(AQ$6:AQ$39),"Prioritise","Big but hard"),IF(AQ39&gt;=MEDIAN(AQ$6:AQ$39),"Easy but small","Deprioritise")),"")</f>
        <v>Deprioritise</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1F5E"/>
    <pageSetUpPr fitToPage="false"/>
  </sheetPr>
  <dimension ref="A1:P6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18"/>
    <col collapsed="false" customWidth="true" hidden="false" outlineLevel="0" max="3" min="3" style="0" width="12"/>
    <col collapsed="false" customWidth="true" hidden="false" outlineLevel="0" max="16" min="4" style="0" width="13"/>
  </cols>
  <sheetData>
    <row r="1" customFormat="false" ht="17.35" hidden="false" customHeight="false" outlineLevel="0" collapsed="false">
      <c r="A1" s="1" t="s">
        <v>363</v>
      </c>
    </row>
    <row r="2" customFormat="false" ht="15" hidden="false" customHeight="false" outlineLevel="0" collapsed="false">
      <c r="A2" s="2" t="s">
        <v>364</v>
      </c>
    </row>
    <row r="5" customFormat="false" ht="55.5" hidden="false" customHeight="true" outlineLevel="0" collapsed="false">
      <c r="A5" s="9" t="s">
        <v>35</v>
      </c>
      <c r="B5" s="9" t="s">
        <v>36</v>
      </c>
      <c r="C5" s="9" t="s">
        <v>37</v>
      </c>
      <c r="D5" s="9" t="s">
        <v>40</v>
      </c>
      <c r="E5" s="9" t="s">
        <v>365</v>
      </c>
      <c r="F5" s="9" t="s">
        <v>366</v>
      </c>
      <c r="G5" s="9" t="s">
        <v>367</v>
      </c>
      <c r="H5" s="9" t="s">
        <v>368</v>
      </c>
      <c r="I5" s="9" t="s">
        <v>369</v>
      </c>
      <c r="J5" s="9" t="s">
        <v>370</v>
      </c>
      <c r="K5" s="9" t="s">
        <v>371</v>
      </c>
      <c r="L5" s="9" t="s">
        <v>372</v>
      </c>
      <c r="M5" s="9" t="s">
        <v>373</v>
      </c>
      <c r="N5" s="9" t="s">
        <v>374</v>
      </c>
      <c r="O5" s="9" t="s">
        <v>375</v>
      </c>
      <c r="P5" s="9" t="s">
        <v>46</v>
      </c>
    </row>
    <row r="6" customFormat="false" ht="15" hidden="false" customHeight="false" outlineLevel="0" collapsed="false">
      <c r="A6" s="10" t="n">
        <v>1</v>
      </c>
      <c r="B6" s="7" t="str">
        <f aca="false">$B$59</f>
        <v>Tanzania</v>
      </c>
      <c r="C6" s="5" t="str">
        <f aca="false">C59</f>
        <v>TZA</v>
      </c>
      <c r="D6" s="11" t="n">
        <f aca="false">INDEX(Scorecard!$AR$6:$AR$39,$B$58)</f>
        <v>65.6806622357811</v>
      </c>
      <c r="E6" s="11" t="n">
        <f aca="false">B48</f>
        <v>-102.088438904262</v>
      </c>
      <c r="F6" s="11" t="n">
        <f aca="false">B88</f>
        <v>13.478932655353</v>
      </c>
      <c r="G6" s="11" t="n">
        <f aca="false">B128</f>
        <v>194.47358725021</v>
      </c>
      <c r="H6" s="12" t="n">
        <f aca="false">Inputs!$C$20*E6+Inputs!$D$20*F6+Inputs!$E$20*G6</f>
        <v>29.8357534141636</v>
      </c>
      <c r="I6" s="11" t="n">
        <f aca="false">B89</f>
        <v>56.2366530208733</v>
      </c>
      <c r="J6" s="16" t="n">
        <f aca="false">B90</f>
        <v>2035</v>
      </c>
      <c r="K6" s="14" t="n">
        <f aca="false">G76</f>
        <v>2329052.04296964</v>
      </c>
      <c r="L6" s="11" t="n">
        <f aca="false">G77</f>
        <v>45.2105654269449</v>
      </c>
      <c r="M6" s="11" t="n">
        <f aca="false">G81</f>
        <v>4.06376605632493</v>
      </c>
      <c r="N6" s="32" t="n">
        <f aca="false">B95</f>
        <v>0.907671364705823</v>
      </c>
      <c r="O6" s="13" t="n">
        <f aca="false">IF(ISNUMBER(N6),N6*Inputs!$D$18,"n/a")</f>
        <v>0.136150704705873</v>
      </c>
      <c r="P6" s="13" t="n">
        <f aca="false">$B$67</f>
        <v>0.127992632329456</v>
      </c>
    </row>
    <row r="7" customFormat="false" ht="15" hidden="false" customHeight="false" outlineLevel="0" collapsed="false">
      <c r="A7" s="10" t="n">
        <v>2</v>
      </c>
      <c r="B7" s="7" t="str">
        <f aca="false">$B$179</f>
        <v>Cote d'Ivoire</v>
      </c>
      <c r="C7" s="5" t="str">
        <f aca="false">C179</f>
        <v>CIV</v>
      </c>
      <c r="D7" s="11" t="n">
        <f aca="false">INDEX(Scorecard!$AR$6:$AR$39,$B$178)</f>
        <v>60.6333034328939</v>
      </c>
      <c r="E7" s="11" t="n">
        <f aca="false">B168</f>
        <v>-80.8901263111822</v>
      </c>
      <c r="F7" s="11" t="n">
        <f aca="false">B208</f>
        <v>-10.323052514166</v>
      </c>
      <c r="G7" s="11" t="n">
        <f aca="false">B248</f>
        <v>99.3018358736013</v>
      </c>
      <c r="H7" s="12" t="n">
        <f aca="false">Inputs!$C$20*E7+Inputs!$D$20*F7+Inputs!$E$20*G7</f>
        <v>-0.558598866478249</v>
      </c>
      <c r="I7" s="11" t="n">
        <f aca="false">B209</f>
        <v>43.5867819398841</v>
      </c>
      <c r="J7" s="16" t="str">
        <f aca="false">B210</f>
        <v>none</v>
      </c>
      <c r="K7" s="14" t="n">
        <f aca="false">G196</f>
        <v>1087477.13329158</v>
      </c>
      <c r="L7" s="11" t="n">
        <f aca="false">G197</f>
        <v>27.308258998882</v>
      </c>
      <c r="M7" s="11" t="n">
        <f aca="false">G201</f>
        <v>0.680056517634045</v>
      </c>
      <c r="N7" s="32" t="n">
        <f aca="false">B215</f>
        <v>1.11538934367895</v>
      </c>
      <c r="O7" s="13" t="n">
        <f aca="false">IF(ISNUMBER(N7),N7*Inputs!$D$18,"n/a")</f>
        <v>0.167308401551842</v>
      </c>
      <c r="P7" s="13" t="n">
        <f aca="false">$B$187</f>
        <v>0.125339934546042</v>
      </c>
    </row>
    <row r="8" customFormat="false" ht="15" hidden="false" customHeight="false" outlineLevel="0" collapsed="false">
      <c r="A8" s="10" t="n">
        <v>3</v>
      </c>
      <c r="B8" s="7" t="str">
        <f aca="false">$B$299</f>
        <v>Uganda</v>
      </c>
      <c r="C8" s="5" t="str">
        <f aca="false">C299</f>
        <v>UGA</v>
      </c>
      <c r="D8" s="11" t="n">
        <f aca="false">INDEX(Scorecard!$AR$6:$AR$39,$B$298)</f>
        <v>60.5293845509395</v>
      </c>
      <c r="E8" s="11" t="n">
        <f aca="false">B288</f>
        <v>-96.1156554839647</v>
      </c>
      <c r="F8" s="11" t="n">
        <f aca="false">B328</f>
        <v>-29.9009595726038</v>
      </c>
      <c r="G8" s="11" t="n">
        <f aca="false">B368</f>
        <v>65.1927133094745</v>
      </c>
      <c r="H8" s="12" t="n">
        <f aca="false">Inputs!$C$20*E8+Inputs!$D$20*F8+Inputs!$E$20*G8</f>
        <v>-22.6812153299244</v>
      </c>
      <c r="I8" s="11" t="n">
        <f aca="false">B329</f>
        <v>53.8508926534455</v>
      </c>
      <c r="J8" s="16" t="str">
        <f aca="false">B330</f>
        <v>none</v>
      </c>
      <c r="K8" s="14" t="n">
        <f aca="false">G316</f>
        <v>1531268.88630141</v>
      </c>
      <c r="L8" s="11" t="n">
        <f aca="false">G317</f>
        <v>28.6306086474706</v>
      </c>
      <c r="M8" s="11" t="n">
        <f aca="false">G321</f>
        <v>-1.16836839447115</v>
      </c>
      <c r="N8" s="32" t="n">
        <f aca="false">B335</f>
        <v>1.3463574069654</v>
      </c>
      <c r="O8" s="13" t="n">
        <f aca="false">IF(ISNUMBER(N8),N8*Inputs!$D$18,"n/a")</f>
        <v>0.201953611044809</v>
      </c>
      <c r="P8" s="13" t="n">
        <f aca="false">$B$307</f>
        <v>0.1271710250055</v>
      </c>
    </row>
    <row r="9" customFormat="false" ht="15" hidden="false" customHeight="false" outlineLevel="0" collapsed="false">
      <c r="A9" s="10" t="n">
        <v>4</v>
      </c>
      <c r="B9" s="7" t="str">
        <f aca="false">$B$419</f>
        <v>Congo, Dem. Rep.</v>
      </c>
      <c r="C9" s="5" t="str">
        <f aca="false">C419</f>
        <v>COD</v>
      </c>
      <c r="D9" s="11" t="n">
        <f aca="false">INDEX(Scorecard!$AR$6:$AR$39,$B$418)</f>
        <v>60.2691083590224</v>
      </c>
      <c r="E9" s="11" t="n">
        <f aca="false">B408</f>
        <v>-111.570887008399</v>
      </c>
      <c r="F9" s="11" t="n">
        <f aca="false">B448</f>
        <v>2.18134775089046</v>
      </c>
      <c r="G9" s="11" t="n">
        <f aca="false">B488</f>
        <v>208.783128376165</v>
      </c>
      <c r="H9" s="12" t="n">
        <f aca="false">Inputs!$C$20*E9+Inputs!$D$20*F9+Inputs!$E$20*G9</f>
        <v>25.3937342173868</v>
      </c>
      <c r="I9" s="11" t="n">
        <f aca="false">B449</f>
        <v>69.5376566639367</v>
      </c>
      <c r="J9" s="16" t="n">
        <f aca="false">B450</f>
        <v>2035</v>
      </c>
      <c r="K9" s="14" t="n">
        <f aca="false">G436</f>
        <v>3436668.62926498</v>
      </c>
      <c r="L9" s="11" t="n">
        <f aca="false">G437</f>
        <v>50.385197720014</v>
      </c>
      <c r="M9" s="11" t="n">
        <f aca="false">G441</f>
        <v>2.28072192521379</v>
      </c>
      <c r="N9" s="32" t="n">
        <f aca="false">B455</f>
        <v>0.984244688848904</v>
      </c>
      <c r="O9" s="13" t="n">
        <f aca="false">IF(ISNUMBER(N9),N9*Inputs!$D$18,"n/a")</f>
        <v>0.147636703327336</v>
      </c>
      <c r="P9" s="13" t="n">
        <f aca="false">$B$427</f>
        <v>0.164660246144535</v>
      </c>
    </row>
    <row r="10" customFormat="false" ht="15" hidden="false" customHeight="false" outlineLevel="0" collapsed="false">
      <c r="A10" s="10" t="n">
        <v>5</v>
      </c>
      <c r="B10" s="7" t="str">
        <f aca="false">$B$539</f>
        <v>Benin</v>
      </c>
      <c r="C10" s="5" t="str">
        <f aca="false">C539</f>
        <v>BEN</v>
      </c>
      <c r="D10" s="11" t="n">
        <f aca="false">INDEX(Scorecard!$AR$6:$AR$39,$B$538)</f>
        <v>55.5048293932268</v>
      </c>
      <c r="E10" s="11" t="n">
        <f aca="false">B528</f>
        <v>-66.5075082206606</v>
      </c>
      <c r="F10" s="11" t="n">
        <f aca="false">B568</f>
        <v>-40.6568997130259</v>
      </c>
      <c r="G10" s="11" t="n">
        <f aca="false">B608</f>
        <v>2.47868142654539</v>
      </c>
      <c r="H10" s="12" t="n">
        <f aca="false">Inputs!$C$20*E10+Inputs!$D$20*F10+Inputs!$E$20*G10</f>
        <v>-36.3356565550418</v>
      </c>
      <c r="I10" s="11" t="n">
        <f aca="false">B569</f>
        <v>50.2977524048916</v>
      </c>
      <c r="J10" s="16" t="str">
        <f aca="false">B570</f>
        <v>none</v>
      </c>
      <c r="K10" s="14" t="n">
        <f aca="false">G556</f>
        <v>491528.812481931</v>
      </c>
      <c r="L10" s="11" t="n">
        <f aca="false">G557</f>
        <v>9.5111853296423</v>
      </c>
      <c r="M10" s="11" t="n">
        <f aca="false">G561</f>
        <v>-4.29141400733751</v>
      </c>
      <c r="N10" s="32" t="n">
        <f aca="false">B575</f>
        <v>2.26289182523432</v>
      </c>
      <c r="O10" s="13" t="n">
        <f aca="false">IF(ISNUMBER(N10),N10*Inputs!$D$18,"n/a")</f>
        <v>0.339433773785148</v>
      </c>
      <c r="P10" s="13" t="n">
        <f aca="false">$B$547</f>
        <v>0.123757242958631</v>
      </c>
    </row>
    <row r="12" customFormat="false" ht="15" hidden="false" customHeight="false" outlineLevel="0" collapsed="false">
      <c r="A12" s="2" t="s">
        <v>376</v>
      </c>
    </row>
    <row r="13" customFormat="false" ht="15" hidden="false" customHeight="false" outlineLevel="0" collapsed="false">
      <c r="A13" s="2" t="s">
        <v>377</v>
      </c>
    </row>
    <row r="18" customFormat="false" ht="15" hidden="false" customHeight="false" outlineLevel="0" collapsed="false">
      <c r="A18" s="3" t="s">
        <v>378</v>
      </c>
      <c r="B18" s="42" t="n">
        <f aca="false">MATCH(1,Scorecard!$AS$6:$AS$39,0)</f>
        <v>30</v>
      </c>
      <c r="C18" s="3"/>
      <c r="D18" s="3"/>
      <c r="E18" s="3"/>
      <c r="F18" s="3"/>
      <c r="G18" s="3"/>
      <c r="H18" s="3"/>
      <c r="I18" s="3"/>
      <c r="J18" s="3"/>
      <c r="K18" s="3"/>
      <c r="L18" s="3"/>
    </row>
    <row r="19" customFormat="false" ht="15" hidden="false" customHeight="false" outlineLevel="0" collapsed="false">
      <c r="A19" s="5" t="s">
        <v>36</v>
      </c>
      <c r="B19" s="34" t="str">
        <f aca="false">INDEX(Scorecard!$A$6:$A$39,$B$18)</f>
        <v>Tanzania</v>
      </c>
      <c r="C19" s="34" t="str">
        <f aca="false">INDEX(Scorecard!$B$6:$B$39,$B$18)</f>
        <v>TZA</v>
      </c>
    </row>
    <row r="20" customFormat="false" ht="15" hidden="false" customHeight="false" outlineLevel="0" collapsed="false">
      <c r="A20" s="5" t="s">
        <v>191</v>
      </c>
      <c r="B20" s="40" t="n">
        <f aca="false">INDEX(Data!$D$6:$D$39,$B$18)</f>
        <v>38155970</v>
      </c>
    </row>
    <row r="21" customFormat="false" ht="15" hidden="false" customHeight="false" outlineLevel="0" collapsed="false">
      <c r="A21" s="5" t="s">
        <v>203</v>
      </c>
      <c r="B21" s="39" t="n">
        <f aca="false">INDEX(Data!$P$6:$P$39,$B$18)</f>
        <v>2.87426672866542</v>
      </c>
    </row>
    <row r="22" customFormat="false" ht="15" hidden="false" customHeight="false" outlineLevel="0" collapsed="false">
      <c r="A22" s="5" t="s">
        <v>379</v>
      </c>
      <c r="B22" s="36" t="n">
        <f aca="false">INDEX(Data!$E$6:$E$39,$B$18)</f>
        <v>0.528539837276394</v>
      </c>
    </row>
    <row r="23" customFormat="false" ht="15" hidden="false" customHeight="false" outlineLevel="0" collapsed="false">
      <c r="A23" s="5" t="s">
        <v>290</v>
      </c>
      <c r="B23" s="39" t="n">
        <f aca="false">INDEX(Forecast!$E$6:$E$39,$B$18)</f>
        <v>0.114283572483917</v>
      </c>
    </row>
    <row r="24" customFormat="false" ht="15" hidden="false" customHeight="false" outlineLevel="0" collapsed="false">
      <c r="A24" s="5" t="s">
        <v>380</v>
      </c>
      <c r="B24" s="43" t="n">
        <f aca="false">INDEX(Forecast!$F$6:$F$39,$B$18)*Inputs!$C$16</f>
        <v>0.0893635307188049</v>
      </c>
    </row>
    <row r="25" customFormat="false" ht="15" hidden="false" customHeight="false" outlineLevel="0" collapsed="false">
      <c r="A25" s="5" t="s">
        <v>381</v>
      </c>
      <c r="B25" s="44" t="n">
        <f aca="false">INDEX(Pools!$H$6:$H$39,$B$18)</f>
        <v>11.6469442312589</v>
      </c>
    </row>
    <row r="26" customFormat="false" ht="15" hidden="false" customHeight="false" outlineLevel="0" collapsed="false">
      <c r="A26" s="5" t="s">
        <v>307</v>
      </c>
      <c r="B26" s="39" t="n">
        <f aca="false">INDEX(Pools!$G$6:$G$39,$B$18)</f>
        <v>1.29483073985321</v>
      </c>
    </row>
    <row r="27" customFormat="false" ht="15" hidden="false" customHeight="false" outlineLevel="0" collapsed="false">
      <c r="A27" s="5" t="s">
        <v>46</v>
      </c>
      <c r="B27" s="36" t="n">
        <f aca="false">INDEX(Scorecard!$AT$6:$AT$39,$B$18)</f>
        <v>0.127992632329456</v>
      </c>
    </row>
    <row r="28" customFormat="false" ht="15" hidden="false" customHeight="false" outlineLevel="0" collapsed="false">
      <c r="A28" s="5" t="s">
        <v>382</v>
      </c>
      <c r="B28" s="36" t="n">
        <f aca="false">Inputs!$C$19</f>
        <v>0.015</v>
      </c>
    </row>
    <row r="29" customFormat="false" ht="15" hidden="false" customHeight="false" outlineLevel="0" collapsed="false">
      <c r="A29" s="5" t="s">
        <v>383</v>
      </c>
      <c r="B29" s="36" t="n">
        <f aca="false">Inputs!$C$18</f>
        <v>0.08</v>
      </c>
    </row>
    <row r="30" customFormat="false" ht="15" hidden="false" customHeight="false" outlineLevel="0" collapsed="false">
      <c r="A30" s="45" t="s">
        <v>384</v>
      </c>
      <c r="B30" s="45"/>
      <c r="C30" s="46" t="n">
        <v>2026</v>
      </c>
      <c r="D30" s="46" t="n">
        <v>2027</v>
      </c>
      <c r="E30" s="46" t="n">
        <v>2028</v>
      </c>
      <c r="F30" s="46" t="n">
        <v>2029</v>
      </c>
      <c r="G30" s="46" t="n">
        <v>2030</v>
      </c>
      <c r="H30" s="46" t="n">
        <v>2031</v>
      </c>
      <c r="I30" s="46" t="n">
        <v>2032</v>
      </c>
      <c r="J30" s="46" t="n">
        <v>2033</v>
      </c>
      <c r="K30" s="46" t="n">
        <v>2034</v>
      </c>
      <c r="L30" s="46" t="n">
        <v>2035</v>
      </c>
    </row>
    <row r="31" customFormat="false" ht="15" hidden="false" customHeight="false" outlineLevel="0" collapsed="false">
      <c r="A31" s="5" t="s">
        <v>385</v>
      </c>
      <c r="D31" s="14" t="n">
        <f aca="false">$B$20*(1+$B$21/100)^(D30-2024)</f>
        <v>41541555.7092658</v>
      </c>
      <c r="E31" s="14" t="n">
        <f aca="false">$B$20*(1+$B$21/100)^(E30-2024)</f>
        <v>42735570.8235872</v>
      </c>
      <c r="F31" s="14" t="n">
        <f aca="false">$B$20*(1+$B$21/100)^(F30-2024)</f>
        <v>43963905.1170748</v>
      </c>
      <c r="G31" s="14" t="n">
        <f aca="false">$B$20*(1+$B$21/100)^(G30-2024)</f>
        <v>45227545.0144769</v>
      </c>
      <c r="H31" s="14" t="n">
        <f aca="false">$B$20*(1+$B$21/100)^(H30-2024)</f>
        <v>46527505.2930202</v>
      </c>
      <c r="I31" s="14" t="n">
        <f aca="false">$B$20*(1+$B$21/100)^(I30-2024)</f>
        <v>47864829.8973355</v>
      </c>
      <c r="J31" s="14" t="n">
        <f aca="false">$B$20*(1+$B$21/100)^(J30-2024)</f>
        <v>49240592.777807</v>
      </c>
      <c r="K31" s="14" t="n">
        <f aca="false">$B$20*(1+$B$21/100)^(K30-2024)</f>
        <v>50655898.7530171</v>
      </c>
      <c r="L31" s="14" t="n">
        <f aca="false">$B$20*(1+$B$21/100)^(L30-2024)</f>
        <v>52111884.3969815</v>
      </c>
    </row>
    <row r="32" customFormat="false" ht="15" hidden="false" customHeight="false" outlineLevel="0" collapsed="false">
      <c r="A32" s="5" t="s">
        <v>386</v>
      </c>
      <c r="D32" s="13" t="n">
        <f aca="false">MIN(1/(1+EXP(-($B$23+$B$24*(D30-2024)))),MAX(Inputs!$D$9,$B$22))</f>
        <v>0.594445594716573</v>
      </c>
      <c r="E32" s="13" t="n">
        <f aca="false">MIN(1/(1+EXP(-($B$23+$B$24*(E30-2024)))),MAX(Inputs!$D$9,$B$22))</f>
        <v>0.615794963026891</v>
      </c>
      <c r="F32" s="13" t="n">
        <f aca="false">MIN(1/(1+EXP(-($B$23+$B$24*(F30-2024)))),MAX(Inputs!$D$9,$B$22))</f>
        <v>0.636707304439113</v>
      </c>
      <c r="G32" s="13" t="n">
        <f aca="false">MIN(1/(1+EXP(-($B$23+$B$24*(G30-2024)))),MAX(Inputs!$D$9,$B$22))</f>
        <v>0.657115186911707</v>
      </c>
      <c r="H32" s="13" t="n">
        <f aca="false">MIN(1/(1+EXP(-($B$23+$B$24*(H30-2024)))),MAX(Inputs!$D$9,$B$22))</f>
        <v>0.676958306304815</v>
      </c>
      <c r="I32" s="13" t="n">
        <f aca="false">MIN(1/(1+EXP(-($B$23+$B$24*(I30-2024)))),MAX(Inputs!$D$9,$B$22))</f>
        <v>0.696184016926339</v>
      </c>
      <c r="J32" s="13" t="n">
        <f aca="false">MIN(1/(1+EXP(-($B$23+$B$24*(J30-2024)))),MAX(Inputs!$D$9,$B$22))</f>
        <v>0.714747656669978</v>
      </c>
      <c r="K32" s="13" t="n">
        <f aca="false">MIN(1/(1+EXP(-($B$23+$B$24*(K30-2024)))),MAX(Inputs!$D$9,$B$22))</f>
        <v>0.732612673184375</v>
      </c>
      <c r="L32" s="13" t="n">
        <f aca="false">MIN(1/(1+EXP(-($B$23+$B$24*(L30-2024)))),MAX(Inputs!$D$9,$B$22))</f>
        <v>0.749750564930191</v>
      </c>
    </row>
    <row r="33" customFormat="false" ht="15" hidden="false" customHeight="false" outlineLevel="0" collapsed="false">
      <c r="A33" s="5" t="s">
        <v>387</v>
      </c>
      <c r="D33" s="14" t="n">
        <f aca="false">D31*$B$22</f>
        <v>21956367.0947836</v>
      </c>
      <c r="E33" s="14" t="n">
        <f aca="false">E31*$B$22</f>
        <v>22587451.6490126</v>
      </c>
      <c r="F33" s="14" t="n">
        <f aca="false">F31*$B$22</f>
        <v>23236675.2566136</v>
      </c>
      <c r="G33" s="14" t="n">
        <f aca="false">G31*$B$22</f>
        <v>23904559.2823624</v>
      </c>
      <c r="H33" s="14" t="n">
        <f aca="false">H31*$B$22</f>
        <v>24591640.0764495</v>
      </c>
      <c r="I33" s="14" t="n">
        <f aca="false">I31*$B$22</f>
        <v>25298469.4052</v>
      </c>
      <c r="J33" s="14" t="n">
        <f aca="false">J31*$B$22</f>
        <v>26025614.8941753</v>
      </c>
      <c r="K33" s="14" t="n">
        <f aca="false">K31*$B$22</f>
        <v>26773660.4840091</v>
      </c>
      <c r="L33" s="14" t="n">
        <f aca="false">L31*$B$22</f>
        <v>27543206.8993469</v>
      </c>
    </row>
    <row r="34" customFormat="false" ht="15" hidden="false" customHeight="false" outlineLevel="0" collapsed="false">
      <c r="A34" s="5" t="s">
        <v>388</v>
      </c>
      <c r="D34" s="14" t="n">
        <f aca="false">MAX(0,D31*D32-D33)</f>
        <v>2737827.69426257</v>
      </c>
      <c r="E34" s="14" t="n">
        <f aca="false">MAX(0,E31*E32-E33)</f>
        <v>3728897.60623139</v>
      </c>
      <c r="F34" s="14" t="n">
        <f aca="false">MAX(0,F31*F32-F33)</f>
        <v>4755464.26309609</v>
      </c>
      <c r="G34" s="14" t="n">
        <f aca="false">MAX(0,G31*G32-G33)</f>
        <v>5815147.41338323</v>
      </c>
      <c r="H34" s="14" t="n">
        <f aca="false">MAX(0,H31*H32-H33)</f>
        <v>6905541.10330183</v>
      </c>
      <c r="I34" s="14" t="n">
        <f aca="false">MAX(0,I31*I32-I33)</f>
        <v>8024260.14222299</v>
      </c>
      <c r="J34" s="14" t="n">
        <f aca="false">MAX(0,J31*J32-J33)</f>
        <v>9168983.40680291</v>
      </c>
      <c r="K34" s="14" t="n">
        <f aca="false">MAX(0,K31*K32-K33)</f>
        <v>10337492.9139958</v>
      </c>
      <c r="L34" s="14" t="n">
        <f aca="false">MAX(0,L31*L32-L33)</f>
        <v>11527707.8668668</v>
      </c>
    </row>
    <row r="35" customFormat="false" ht="15" hidden="false" customHeight="false" outlineLevel="0" collapsed="false">
      <c r="A35" s="5" t="s">
        <v>389</v>
      </c>
      <c r="D35" s="47" t="n">
        <f aca="false">Inputs!$D$41</f>
        <v>0.1</v>
      </c>
      <c r="E35" s="47" t="n">
        <f aca="false">Inputs!$D$42</f>
        <v>0.35</v>
      </c>
      <c r="F35" s="47" t="n">
        <f aca="false">Inputs!$D$43</f>
        <v>0.65</v>
      </c>
      <c r="G35" s="47" t="n">
        <f aca="false">Inputs!$D$44</f>
        <v>1</v>
      </c>
      <c r="H35" s="47" t="n">
        <f aca="false">Inputs!$D$44</f>
        <v>1</v>
      </c>
      <c r="I35" s="47" t="n">
        <f aca="false">Inputs!$D$44</f>
        <v>1</v>
      </c>
      <c r="J35" s="47" t="n">
        <f aca="false">Inputs!$D$44</f>
        <v>1</v>
      </c>
      <c r="K35" s="47" t="n">
        <f aca="false">Inputs!$D$44</f>
        <v>1</v>
      </c>
      <c r="L35" s="47" t="n">
        <f aca="false">Inputs!$D$44</f>
        <v>1</v>
      </c>
    </row>
    <row r="36" customFormat="false" ht="15" hidden="false" customHeight="false" outlineLevel="0" collapsed="false">
      <c r="A36" s="5" t="s">
        <v>390</v>
      </c>
      <c r="C36" s="14" t="n">
        <v>0</v>
      </c>
      <c r="D36" s="14" t="n">
        <f aca="false">D35*($B$28*D33+$B$29*D34)</f>
        <v>54837.1721962759</v>
      </c>
      <c r="E36" s="14" t="n">
        <f aca="false">E35*($B$28*E33+$B$29*E34)</f>
        <v>222993.254131795</v>
      </c>
      <c r="F36" s="14" t="n">
        <f aca="false">F35*($B$28*F33+$B$29*F34)</f>
        <v>473841.725432979</v>
      </c>
      <c r="G36" s="14" t="n">
        <f aca="false">G35*($B$28*G33+$B$29*G34)</f>
        <v>823780.182306094</v>
      </c>
      <c r="H36" s="14" t="n">
        <f aca="false">H35*($B$28*H33+$B$29*H34)</f>
        <v>921317.889410888</v>
      </c>
      <c r="I36" s="14" t="n">
        <f aca="false">I35*($B$28*I33+$B$29*I34)</f>
        <v>1021417.85245584</v>
      </c>
      <c r="J36" s="14" t="n">
        <f aca="false">J35*($B$28*J33+$B$29*J34)</f>
        <v>1123902.89595686</v>
      </c>
      <c r="K36" s="14" t="n">
        <f aca="false">K35*($B$28*K33+$B$29*K34)</f>
        <v>1228604.3403798</v>
      </c>
      <c r="L36" s="14" t="n">
        <f aca="false">L35*($B$28*L33+$B$29*L34)</f>
        <v>1335364.73283955</v>
      </c>
    </row>
    <row r="37" customFormat="false" ht="15" hidden="false" customHeight="false" outlineLevel="0" collapsed="false">
      <c r="A37" s="5" t="s">
        <v>391</v>
      </c>
      <c r="D37" s="11" t="n">
        <f aca="false">D36*$B$25/1000000</f>
        <v>0.638685486369965</v>
      </c>
      <c r="E37" s="11" t="n">
        <f aca="false">E36*$B$25/1000000</f>
        <v>2.59718999481995</v>
      </c>
      <c r="F37" s="11" t="n">
        <f aca="false">F36*$B$25/1000000</f>
        <v>5.51880815056139</v>
      </c>
      <c r="G37" s="11" t="n">
        <f aca="false">G36*$B$25/1000000</f>
        <v>9.59452184213535</v>
      </c>
      <c r="H37" s="11" t="n">
        <f aca="false">H36*$B$25/1000000</f>
        <v>10.7305380772297</v>
      </c>
      <c r="I37" s="11" t="n">
        <f aca="false">I36*$B$25/1000000</f>
        <v>11.8963967643654</v>
      </c>
      <c r="J37" s="11" t="n">
        <f aca="false">J36*$B$25/1000000</f>
        <v>13.0900343505599</v>
      </c>
      <c r="K37" s="11" t="n">
        <f aca="false">K36*$B$25/1000000</f>
        <v>14.3094862346861</v>
      </c>
      <c r="L37" s="11" t="n">
        <f aca="false">L36*$B$25/1000000</f>
        <v>15.5529185717721</v>
      </c>
    </row>
    <row r="38" customFormat="false" ht="15" hidden="false" customHeight="false" outlineLevel="0" collapsed="false">
      <c r="A38" s="5" t="s">
        <v>392</v>
      </c>
      <c r="D38" s="11" t="n">
        <f aca="false">Inputs!$D$31*MAX(0,D36-C36)/1000000</f>
        <v>0.164511516588828</v>
      </c>
      <c r="E38" s="11" t="n">
        <f aca="false">Inputs!$D$31*MAX(0,E36-D36)/1000000</f>
        <v>0.504468245806557</v>
      </c>
      <c r="F38" s="11" t="n">
        <f aca="false">Inputs!$D$31*MAX(0,F36-E36)/1000000</f>
        <v>0.752545413903552</v>
      </c>
      <c r="G38" s="11" t="n">
        <f aca="false">Inputs!$D$31*MAX(0,G36-F36)/1000000</f>
        <v>1.04981537061935</v>
      </c>
      <c r="H38" s="11" t="n">
        <f aca="false">Inputs!$D$31*MAX(0,H36-G36)/1000000</f>
        <v>0.292613121314381</v>
      </c>
      <c r="I38" s="11" t="n">
        <f aca="false">Inputs!$D$31*MAX(0,I36-H36)/1000000</f>
        <v>0.300299889134854</v>
      </c>
      <c r="J38" s="11" t="n">
        <f aca="false">Inputs!$D$31*MAX(0,J36-I36)/1000000</f>
        <v>0.307455130503068</v>
      </c>
      <c r="K38" s="11" t="n">
        <f aca="false">Inputs!$D$31*MAX(0,K36-J36)/1000000</f>
        <v>0.314104333268813</v>
      </c>
      <c r="L38" s="11" t="n">
        <f aca="false">Inputs!$D$31*MAX(0,L36-K36)/1000000</f>
        <v>0.320281177379245</v>
      </c>
    </row>
    <row r="39" customFormat="false" ht="15" hidden="false" customHeight="false" outlineLevel="0" collapsed="false">
      <c r="A39" s="5" t="s">
        <v>393</v>
      </c>
      <c r="D39" s="11" t="n">
        <f aca="false">Inputs!$D$30*$B$26</f>
        <v>15.5379688782385</v>
      </c>
      <c r="E39" s="11" t="n">
        <f aca="false">Inputs!$D$30*$B$26</f>
        <v>15.5379688782385</v>
      </c>
      <c r="F39" s="11" t="n">
        <f aca="false">Inputs!$D$30*$B$26</f>
        <v>15.5379688782385</v>
      </c>
      <c r="G39" s="11" t="n">
        <f aca="false">Inputs!$D$30*$B$26</f>
        <v>15.5379688782385</v>
      </c>
      <c r="H39" s="11" t="n">
        <f aca="false">Inputs!$D$30*$B$26</f>
        <v>15.5379688782385</v>
      </c>
      <c r="I39" s="11" t="n">
        <f aca="false">Inputs!$D$30*$B$26</f>
        <v>15.5379688782385</v>
      </c>
      <c r="J39" s="11" t="n">
        <f aca="false">Inputs!$D$30*$B$26</f>
        <v>15.5379688782385</v>
      </c>
      <c r="K39" s="11" t="n">
        <f aca="false">Inputs!$D$30*$B$26</f>
        <v>15.5379688782385</v>
      </c>
      <c r="L39" s="11" t="n">
        <f aca="false">Inputs!$D$30*$B$26</f>
        <v>15.5379688782385</v>
      </c>
    </row>
    <row r="40" customFormat="false" ht="15" hidden="false" customHeight="false" outlineLevel="0" collapsed="false">
      <c r="A40" s="5" t="s">
        <v>394</v>
      </c>
      <c r="D40" s="11" t="n">
        <f aca="false">D37*Inputs!$D$29-D38</f>
        <v>0.154831226596155</v>
      </c>
      <c r="E40" s="11" t="n">
        <f aca="false">E37*Inputs!$D$29-E38</f>
        <v>0.794126751603419</v>
      </c>
      <c r="F40" s="11" t="n">
        <f aca="false">F37*Inputs!$D$29-F38</f>
        <v>2.00685866137714</v>
      </c>
      <c r="G40" s="11" t="n">
        <f aca="false">G37*Inputs!$D$29-G38</f>
        <v>3.74744555044833</v>
      </c>
      <c r="H40" s="11" t="n">
        <f aca="false">H37*Inputs!$D$29-H38</f>
        <v>5.07265591730049</v>
      </c>
      <c r="I40" s="11" t="n">
        <f aca="false">I37*Inputs!$D$29-I38</f>
        <v>5.64789849304783</v>
      </c>
      <c r="J40" s="11" t="n">
        <f aca="false">J37*Inputs!$D$29-J38</f>
        <v>6.23756204477689</v>
      </c>
      <c r="K40" s="11" t="n">
        <f aca="false">K37*Inputs!$D$29-K38</f>
        <v>6.84063878407425</v>
      </c>
      <c r="L40" s="11" t="n">
        <f aca="false">L37*Inputs!$D$29-L38</f>
        <v>7.45617810850681</v>
      </c>
    </row>
    <row r="41" customFormat="false" ht="15" hidden="false" customHeight="false" outlineLevel="0" collapsed="false">
      <c r="A41" s="5" t="s">
        <v>395</v>
      </c>
      <c r="D41" s="11" t="n">
        <f aca="false">D40-D39</f>
        <v>-15.3831376516424</v>
      </c>
      <c r="E41" s="11" t="n">
        <f aca="false">E40-E39</f>
        <v>-14.7438421266351</v>
      </c>
      <c r="F41" s="11" t="n">
        <f aca="false">F40-F39</f>
        <v>-13.5311102168614</v>
      </c>
      <c r="G41" s="11" t="n">
        <f aca="false">G40-G39</f>
        <v>-11.7905233277902</v>
      </c>
      <c r="H41" s="11" t="n">
        <f aca="false">H40-H39</f>
        <v>-10.465312960938</v>
      </c>
      <c r="I41" s="11" t="n">
        <f aca="false">I40-I39</f>
        <v>-9.89007038519069</v>
      </c>
      <c r="J41" s="11" t="n">
        <f aca="false">J40-J39</f>
        <v>-9.30040683346163</v>
      </c>
      <c r="K41" s="11" t="n">
        <f aca="false">K40-K39</f>
        <v>-8.69733009416428</v>
      </c>
      <c r="L41" s="11" t="n">
        <f aca="false">L40-L39</f>
        <v>-8.08179076973171</v>
      </c>
    </row>
    <row r="42" customFormat="false" ht="15" hidden="false" customHeight="false" outlineLevel="0" collapsed="false">
      <c r="A42" s="5" t="s">
        <v>396</v>
      </c>
      <c r="D42" s="48" t="n">
        <f aca="false">1/(1+$B$27)^(D30-2026)</f>
        <v>0.886530613178621</v>
      </c>
      <c r="E42" s="48" t="n">
        <f aca="false">1/(1+$B$27)^(E30-2026)</f>
        <v>0.785936528102862</v>
      </c>
      <c r="F42" s="48" t="n">
        <f aca="false">1/(1+$B$27)^(F30-2026)</f>
        <v>0.696756792178507</v>
      </c>
      <c r="G42" s="48" t="n">
        <f aca="false">1/(1+$B$27)^(G30-2026)</f>
        <v>0.617696226206381</v>
      </c>
      <c r="H42" s="48" t="n">
        <f aca="false">1/(1+$B$27)^(H30-2026)</f>
        <v>0.547606614176864</v>
      </c>
      <c r="I42" s="48" t="n">
        <f aca="false">1/(1+$B$27)^(I30-2026)</f>
        <v>0.485470027446884</v>
      </c>
      <c r="J42" s="48" t="n">
        <f aca="false">1/(1+$B$27)^(J30-2026)</f>
        <v>0.430384041112328</v>
      </c>
      <c r="K42" s="48" t="n">
        <f aca="false">1/(1+$B$27)^(K30-2026)</f>
        <v>0.381548627869605</v>
      </c>
      <c r="L42" s="48" t="n">
        <f aca="false">1/(1+$B$27)^(L30-2026)</f>
        <v>0.338254539022702</v>
      </c>
    </row>
    <row r="43" customFormat="false" ht="15" hidden="false" customHeight="false" outlineLevel="0" collapsed="false">
      <c r="A43" s="5" t="s">
        <v>397</v>
      </c>
      <c r="D43" s="11" t="n">
        <f aca="false">D41*D42</f>
        <v>-13.6376224549216</v>
      </c>
      <c r="E43" s="11" t="n">
        <f aca="false">E41*E42</f>
        <v>-11.5877240919043</v>
      </c>
      <c r="F43" s="11" t="n">
        <f aca="false">F41*F42</f>
        <v>-9.42789294931416</v>
      </c>
      <c r="G43" s="11" t="n">
        <f aca="false">G41*G42</f>
        <v>-7.28296176457431</v>
      </c>
      <c r="H43" s="11" t="n">
        <f aca="false">H41*H42</f>
        <v>-5.73087459684052</v>
      </c>
      <c r="I43" s="11" t="n">
        <f aca="false">I41*I42</f>
        <v>-4.80133274135014</v>
      </c>
      <c r="J43" s="11" t="n">
        <f aca="false">J41*J42</f>
        <v>-4.00274667697393</v>
      </c>
      <c r="K43" s="11" t="n">
        <f aca="false">K41*K42</f>
        <v>-3.3184543635574</v>
      </c>
      <c r="L43" s="11" t="n">
        <f aca="false">L41*L42</f>
        <v>-2.73370241129353</v>
      </c>
    </row>
    <row r="44" customFormat="false" ht="15" hidden="false" customHeight="false" outlineLevel="0" collapsed="false">
      <c r="A44" s="5" t="s">
        <v>398</v>
      </c>
      <c r="C44" s="11" t="n">
        <f aca="false">-B47</f>
        <v>-25.8966147970642</v>
      </c>
      <c r="D44" s="11" t="n">
        <f aca="false">C44+D41</f>
        <v>-41.2797524487066</v>
      </c>
      <c r="E44" s="11" t="n">
        <f aca="false">D44+E41</f>
        <v>-56.0235945753417</v>
      </c>
      <c r="F44" s="11" t="n">
        <f aca="false">E44+F41</f>
        <v>-69.554704792203</v>
      </c>
      <c r="G44" s="11" t="n">
        <f aca="false">F44+G41</f>
        <v>-81.3452281199932</v>
      </c>
      <c r="H44" s="11" t="n">
        <f aca="false">G44+H41</f>
        <v>-91.8105410809313</v>
      </c>
      <c r="I44" s="11" t="n">
        <f aca="false">H44+I41</f>
        <v>-101.700611466122</v>
      </c>
      <c r="J44" s="11" t="n">
        <f aca="false">I44+J41</f>
        <v>-111.001018299584</v>
      </c>
      <c r="K44" s="11" t="n">
        <f aca="false">J44+K41</f>
        <v>-119.698348393748</v>
      </c>
      <c r="L44" s="11" t="n">
        <f aca="false">K44+L41</f>
        <v>-127.78013916348</v>
      </c>
    </row>
    <row r="45" customFormat="false" ht="15" hidden="false" customHeight="false" outlineLevel="0" collapsed="false">
      <c r="A45" s="5" t="s">
        <v>399</v>
      </c>
      <c r="D45" s="16" t="str">
        <f aca="false">IF(D44&gt;=0,D30,"")</f>
        <v/>
      </c>
      <c r="E45" s="16" t="str">
        <f aca="false">IF(E44&gt;=0,E30,"")</f>
        <v/>
      </c>
      <c r="F45" s="16" t="str">
        <f aca="false">IF(F44&gt;=0,F30,"")</f>
        <v/>
      </c>
      <c r="G45" s="16" t="str">
        <f aca="false">IF(G44&gt;=0,G30,"")</f>
        <v/>
      </c>
      <c r="H45" s="16" t="str">
        <f aca="false">IF(H44&gt;=0,H30,"")</f>
        <v/>
      </c>
      <c r="I45" s="16" t="str">
        <f aca="false">IF(I44&gt;=0,I30,"")</f>
        <v/>
      </c>
      <c r="J45" s="16" t="str">
        <f aca="false">IF(J44&gt;=0,J30,"")</f>
        <v/>
      </c>
      <c r="K45" s="16" t="str">
        <f aca="false">IF(K44&gt;=0,K30,"")</f>
        <v/>
      </c>
      <c r="L45" s="16" t="str">
        <f aca="false">IF(L44&gt;=0,L30,"")</f>
        <v/>
      </c>
    </row>
    <row r="47" customFormat="false" ht="15" hidden="false" customHeight="false" outlineLevel="0" collapsed="false">
      <c r="A47" s="5" t="s">
        <v>400</v>
      </c>
      <c r="B47" s="11" t="n">
        <f aca="false">Inputs!$D$32*$B$26</f>
        <v>25.8966147970642</v>
      </c>
    </row>
    <row r="48" customFormat="false" ht="15" hidden="false" customHeight="false" outlineLevel="0" collapsed="false">
      <c r="A48" s="7" t="s">
        <v>401</v>
      </c>
      <c r="B48" s="12" t="n">
        <f aca="false">-B47+SUM(D43:L43)+Inputs!$D$33*L41*L42</f>
        <v>-102.088438904262</v>
      </c>
    </row>
    <row r="49" customFormat="false" ht="15" hidden="false" customHeight="false" outlineLevel="0" collapsed="false">
      <c r="A49" s="5" t="s">
        <v>402</v>
      </c>
      <c r="B49" s="11" t="n">
        <f aca="false">-MIN(C44:L44)</f>
        <v>127.78013916348</v>
      </c>
    </row>
    <row r="50" customFormat="false" ht="15" hidden="false" customHeight="false" outlineLevel="0" collapsed="false">
      <c r="A50" s="5" t="s">
        <v>403</v>
      </c>
      <c r="B50" s="16" t="str">
        <f aca="false">IF(COUNT(C45:L45)=0,"none",MIN(C45:L45))</f>
        <v>none</v>
      </c>
    </row>
    <row r="51" customFormat="false" ht="15" hidden="false" customHeight="false" outlineLevel="0" collapsed="false">
      <c r="A51" s="5" t="s">
        <v>404</v>
      </c>
      <c r="B51" s="11" t="n">
        <f aca="false">SUMPRODUCT(D37:L37,D42:L42)+Inputs!$D$33*L37*L42</f>
        <v>66.6892439416418</v>
      </c>
    </row>
    <row r="52" customFormat="false" ht="15" hidden="false" customHeight="false" outlineLevel="0" collapsed="false">
      <c r="A52" s="5" t="s">
        <v>405</v>
      </c>
      <c r="B52" s="11" t="n">
        <f aca="false">SUMPRODUCT(D38:L38,D42:L42)+Inputs!$D$33*L38*L42</f>
        <v>2.92334534554181</v>
      </c>
    </row>
    <row r="53" customFormat="false" ht="15" hidden="false" customHeight="false" outlineLevel="0" collapsed="false">
      <c r="A53" s="5" t="s">
        <v>406</v>
      </c>
      <c r="B53" s="11" t="n">
        <f aca="false">B47+Inputs!$D$30*$B$26*(SUM(D42:L42)+Inputs!$D$33*L42)</f>
        <v>132.509715529541</v>
      </c>
    </row>
    <row r="54" customFormat="false" ht="15" hidden="false" customHeight="false" outlineLevel="0" collapsed="false">
      <c r="A54" s="5" t="s">
        <v>407</v>
      </c>
      <c r="B54" s="11" t="n">
        <f aca="false">Inputs!$D$29*B51-B52-B53</f>
        <v>-102.088438904262</v>
      </c>
    </row>
    <row r="55" customFormat="false" ht="15" hidden="false" customHeight="false" outlineLevel="0" collapsed="false">
      <c r="A55" s="5" t="s">
        <v>408</v>
      </c>
      <c r="B55" s="49" t="n">
        <f aca="false">IF(Inputs!$D$29*B51-B52&gt;0,B53/(Inputs!$D$29*B51-B52),"n/a")</f>
        <v>4.35582362836902</v>
      </c>
    </row>
    <row r="56" customFormat="false" ht="15" hidden="false" customHeight="false" outlineLevel="0" collapsed="false">
      <c r="A56" s="5" t="s">
        <v>409</v>
      </c>
      <c r="B56" s="50" t="n">
        <f aca="false">ABS(B54-B48)</f>
        <v>0</v>
      </c>
    </row>
    <row r="58" customFormat="false" ht="15" hidden="false" customHeight="false" outlineLevel="0" collapsed="false">
      <c r="A58" s="3" t="s">
        <v>410</v>
      </c>
      <c r="B58" s="42" t="n">
        <f aca="false">MATCH(1,Scorecard!$AS$6:$AS$39,0)</f>
        <v>30</v>
      </c>
      <c r="C58" s="3"/>
      <c r="D58" s="3"/>
      <c r="E58" s="3"/>
      <c r="F58" s="3"/>
      <c r="G58" s="3"/>
      <c r="H58" s="3"/>
      <c r="I58" s="3"/>
      <c r="J58" s="3"/>
      <c r="K58" s="3"/>
      <c r="L58" s="3"/>
    </row>
    <row r="59" customFormat="false" ht="15" hidden="false" customHeight="false" outlineLevel="0" collapsed="false">
      <c r="A59" s="5" t="s">
        <v>36</v>
      </c>
      <c r="B59" s="34" t="str">
        <f aca="false">INDEX(Scorecard!$A$6:$A$39,$B$58)</f>
        <v>Tanzania</v>
      </c>
      <c r="C59" s="34" t="str">
        <f aca="false">INDEX(Scorecard!$B$6:$B$39,$B$58)</f>
        <v>TZA</v>
      </c>
    </row>
    <row r="60" customFormat="false" ht="15" hidden="false" customHeight="false" outlineLevel="0" collapsed="false">
      <c r="A60" s="5" t="s">
        <v>191</v>
      </c>
      <c r="B60" s="40" t="n">
        <f aca="false">INDEX(Data!$D$6:$D$39,$B$58)</f>
        <v>38155970</v>
      </c>
    </row>
    <row r="61" customFormat="false" ht="15" hidden="false" customHeight="false" outlineLevel="0" collapsed="false">
      <c r="A61" s="5" t="s">
        <v>203</v>
      </c>
      <c r="B61" s="39" t="n">
        <f aca="false">INDEX(Data!$P$6:$P$39,$B$58)</f>
        <v>2.87426672866542</v>
      </c>
    </row>
    <row r="62" customFormat="false" ht="15" hidden="false" customHeight="false" outlineLevel="0" collapsed="false">
      <c r="A62" s="5" t="s">
        <v>379</v>
      </c>
      <c r="B62" s="36" t="n">
        <f aca="false">INDEX(Data!$E$6:$E$39,$B$58)</f>
        <v>0.528539837276394</v>
      </c>
    </row>
    <row r="63" customFormat="false" ht="15" hidden="false" customHeight="false" outlineLevel="0" collapsed="false">
      <c r="A63" s="5" t="s">
        <v>290</v>
      </c>
      <c r="B63" s="39" t="n">
        <f aca="false">INDEX(Forecast!$E$6:$E$39,$B$58)</f>
        <v>0.114283572483917</v>
      </c>
    </row>
    <row r="64" customFormat="false" ht="15" hidden="false" customHeight="false" outlineLevel="0" collapsed="false">
      <c r="A64" s="5" t="s">
        <v>380</v>
      </c>
      <c r="B64" s="43" t="n">
        <f aca="false">INDEX(Forecast!$F$6:$F$39,$B$58)*Inputs!$D$16</f>
        <v>0.17872706143761</v>
      </c>
    </row>
    <row r="65" customFormat="false" ht="15" hidden="false" customHeight="false" outlineLevel="0" collapsed="false">
      <c r="A65" s="5" t="s">
        <v>381</v>
      </c>
      <c r="B65" s="44" t="n">
        <f aca="false">INDEX(Pools!$I$6:$I$39,$B$58)</f>
        <v>19.4115737187648</v>
      </c>
    </row>
    <row r="66" customFormat="false" ht="15" hidden="false" customHeight="false" outlineLevel="0" collapsed="false">
      <c r="A66" s="5" t="s">
        <v>307</v>
      </c>
      <c r="B66" s="39" t="n">
        <f aca="false">INDEX(Pools!$G$6:$G$39,$B$58)</f>
        <v>1.29483073985321</v>
      </c>
    </row>
    <row r="67" customFormat="false" ht="15" hidden="false" customHeight="false" outlineLevel="0" collapsed="false">
      <c r="A67" s="5" t="s">
        <v>46</v>
      </c>
      <c r="B67" s="36" t="n">
        <f aca="false">INDEX(Scorecard!$AT$6:$AT$39,$B$58)</f>
        <v>0.127992632329456</v>
      </c>
    </row>
    <row r="68" customFormat="false" ht="15" hidden="false" customHeight="false" outlineLevel="0" collapsed="false">
      <c r="A68" s="5" t="s">
        <v>382</v>
      </c>
      <c r="B68" s="36" t="n">
        <f aca="false">Inputs!$D$19</f>
        <v>0.03</v>
      </c>
    </row>
    <row r="69" customFormat="false" ht="15" hidden="false" customHeight="false" outlineLevel="0" collapsed="false">
      <c r="A69" s="5" t="s">
        <v>383</v>
      </c>
      <c r="B69" s="36" t="n">
        <f aca="false">Inputs!$D$18</f>
        <v>0.15</v>
      </c>
    </row>
    <row r="70" customFormat="false" ht="15" hidden="false" customHeight="false" outlineLevel="0" collapsed="false">
      <c r="A70" s="45" t="s">
        <v>384</v>
      </c>
      <c r="B70" s="45"/>
      <c r="C70" s="46" t="n">
        <v>2026</v>
      </c>
      <c r="D70" s="46" t="n">
        <v>2027</v>
      </c>
      <c r="E70" s="46" t="n">
        <v>2028</v>
      </c>
      <c r="F70" s="46" t="n">
        <v>2029</v>
      </c>
      <c r="G70" s="46" t="n">
        <v>2030</v>
      </c>
      <c r="H70" s="46" t="n">
        <v>2031</v>
      </c>
      <c r="I70" s="46" t="n">
        <v>2032</v>
      </c>
      <c r="J70" s="46" t="n">
        <v>2033</v>
      </c>
      <c r="K70" s="46" t="n">
        <v>2034</v>
      </c>
      <c r="L70" s="46" t="n">
        <v>2035</v>
      </c>
    </row>
    <row r="71" customFormat="false" ht="15" hidden="false" customHeight="false" outlineLevel="0" collapsed="false">
      <c r="A71" s="5" t="s">
        <v>385</v>
      </c>
      <c r="D71" s="14" t="n">
        <f aca="false">$B$60*(1+$B$61/100)^(D70-2024)</f>
        <v>41541555.7092658</v>
      </c>
      <c r="E71" s="14" t="n">
        <f aca="false">$B$60*(1+$B$61/100)^(E70-2024)</f>
        <v>42735570.8235872</v>
      </c>
      <c r="F71" s="14" t="n">
        <f aca="false">$B$60*(1+$B$61/100)^(F70-2024)</f>
        <v>43963905.1170748</v>
      </c>
      <c r="G71" s="14" t="n">
        <f aca="false">$B$60*(1+$B$61/100)^(G70-2024)</f>
        <v>45227545.0144769</v>
      </c>
      <c r="H71" s="14" t="n">
        <f aca="false">$B$60*(1+$B$61/100)^(H70-2024)</f>
        <v>46527505.2930202</v>
      </c>
      <c r="I71" s="14" t="n">
        <f aca="false">$B$60*(1+$B$61/100)^(I70-2024)</f>
        <v>47864829.8973355</v>
      </c>
      <c r="J71" s="14" t="n">
        <f aca="false">$B$60*(1+$B$61/100)^(J70-2024)</f>
        <v>49240592.777807</v>
      </c>
      <c r="K71" s="14" t="n">
        <f aca="false">$B$60*(1+$B$61/100)^(K70-2024)</f>
        <v>50655898.7530171</v>
      </c>
      <c r="L71" s="14" t="n">
        <f aca="false">$B$60*(1+$B$61/100)^(L70-2024)</f>
        <v>52111884.3969815</v>
      </c>
    </row>
    <row r="72" customFormat="false" ht="15" hidden="false" customHeight="false" outlineLevel="0" collapsed="false">
      <c r="A72" s="5" t="s">
        <v>386</v>
      </c>
      <c r="D72" s="13" t="n">
        <f aca="false">MIN(1/(1+EXP(-($B$63+$B$64*(D70-2024)))),MAX(Inputs!$D$9,$B$62))</f>
        <v>0.657115186911707</v>
      </c>
      <c r="E72" s="13" t="n">
        <f aca="false">MIN(1/(1+EXP(-($B$63+$B$64*(E70-2024)))),MAX(Inputs!$D$9,$B$62))</f>
        <v>0.696184016926339</v>
      </c>
      <c r="F72" s="13" t="n">
        <f aca="false">MIN(1/(1+EXP(-($B$63+$B$64*(F70-2024)))),MAX(Inputs!$D$9,$B$62))</f>
        <v>0.732612673184375</v>
      </c>
      <c r="G72" s="13" t="n">
        <f aca="false">MIN(1/(1+EXP(-($B$63+$B$64*(G70-2024)))),MAX(Inputs!$D$9,$B$62))</f>
        <v>0.766140656862896</v>
      </c>
      <c r="H72" s="13" t="n">
        <f aca="false">MIN(1/(1+EXP(-($B$63+$B$64*(H70-2024)))),MAX(Inputs!$D$9,$B$62))</f>
        <v>0.796631563813707</v>
      </c>
      <c r="I72" s="13" t="n">
        <f aca="false">MIN(1/(1+EXP(-($B$63+$B$64*(I70-2024)))),MAX(Inputs!$D$9,$B$62))</f>
        <v>0.824059963611168</v>
      </c>
      <c r="J72" s="13" t="n">
        <f aca="false">MIN(1/(1+EXP(-($B$63+$B$64*(J70-2024)))),MAX(Inputs!$D$9,$B$62))</f>
        <v>0.848492629657157</v>
      </c>
      <c r="K72" s="13" t="n">
        <f aca="false">MIN(1/(1+EXP(-($B$63+$B$64*(K70-2024)))),MAX(Inputs!$D$9,$B$62))</f>
        <v>0.870067327808124</v>
      </c>
      <c r="L72" s="13" t="n">
        <f aca="false">MIN(1/(1+EXP(-($B$63+$B$64*(L70-2024)))),MAX(Inputs!$D$9,$B$62))</f>
        <v>0.888971795797495</v>
      </c>
    </row>
    <row r="73" customFormat="false" ht="15" hidden="false" customHeight="false" outlineLevel="0" collapsed="false">
      <c r="A73" s="5" t="s">
        <v>387</v>
      </c>
      <c r="D73" s="14" t="n">
        <f aca="false">D71*$B$62</f>
        <v>21956367.0947836</v>
      </c>
      <c r="E73" s="14" t="n">
        <f aca="false">E71*$B$62</f>
        <v>22587451.6490126</v>
      </c>
      <c r="F73" s="14" t="n">
        <f aca="false">F71*$B$62</f>
        <v>23236675.2566136</v>
      </c>
      <c r="G73" s="14" t="n">
        <f aca="false">G71*$B$62</f>
        <v>23904559.2823624</v>
      </c>
      <c r="H73" s="14" t="n">
        <f aca="false">H71*$B$62</f>
        <v>24591640.0764495</v>
      </c>
      <c r="I73" s="14" t="n">
        <f aca="false">I71*$B$62</f>
        <v>25298469.4052</v>
      </c>
      <c r="J73" s="14" t="n">
        <f aca="false">J71*$B$62</f>
        <v>26025614.8941753</v>
      </c>
      <c r="K73" s="14" t="n">
        <f aca="false">K71*$B$62</f>
        <v>26773660.4840091</v>
      </c>
      <c r="L73" s="14" t="n">
        <f aca="false">L71*$B$62</f>
        <v>27543206.8993469</v>
      </c>
    </row>
    <row r="74" customFormat="false" ht="15" hidden="false" customHeight="false" outlineLevel="0" collapsed="false">
      <c r="A74" s="5" t="s">
        <v>388</v>
      </c>
      <c r="D74" s="14" t="n">
        <f aca="false">MAX(0,D71*D72-D73)</f>
        <v>5341220.04971368</v>
      </c>
      <c r="E74" s="14" t="n">
        <f aca="false">MAX(0,E71*E72-E73)</f>
        <v>7164369.71259242</v>
      </c>
      <c r="F74" s="14" t="n">
        <f aca="false">MAX(0,F71*F72-F73)</f>
        <v>8971838.79483087</v>
      </c>
      <c r="G74" s="14" t="n">
        <f aca="false">MAX(0,G71*G72-G73)</f>
        <v>10746101.7633251</v>
      </c>
      <c r="H74" s="14" t="n">
        <f aca="false">MAX(0,H71*H72-H73)</f>
        <v>12473639.2254797</v>
      </c>
      <c r="I74" s="14" t="n">
        <f aca="false">MAX(0,I71*I72-I73)</f>
        <v>14145020.5782531</v>
      </c>
      <c r="J74" s="14" t="n">
        <f aca="false">MAX(0,J71*J72-J73)</f>
        <v>15754665.1577434</v>
      </c>
      <c r="K74" s="14" t="n">
        <f aca="false">MAX(0,K71*K72-K73)</f>
        <v>17300381.9817473</v>
      </c>
      <c r="L74" s="14" t="n">
        <f aca="false">MAX(0,L71*L72-L73)</f>
        <v>18782788.5554292</v>
      </c>
    </row>
    <row r="75" customFormat="false" ht="15" hidden="false" customHeight="false" outlineLevel="0" collapsed="false">
      <c r="A75" s="5" t="s">
        <v>389</v>
      </c>
      <c r="D75" s="47" t="n">
        <f aca="false">Inputs!$D$41</f>
        <v>0.1</v>
      </c>
      <c r="E75" s="47" t="n">
        <f aca="false">Inputs!$D$42</f>
        <v>0.35</v>
      </c>
      <c r="F75" s="47" t="n">
        <f aca="false">Inputs!$D$43</f>
        <v>0.65</v>
      </c>
      <c r="G75" s="47" t="n">
        <f aca="false">Inputs!$D$44</f>
        <v>1</v>
      </c>
      <c r="H75" s="47" t="n">
        <f aca="false">Inputs!$D$44</f>
        <v>1</v>
      </c>
      <c r="I75" s="47" t="n">
        <f aca="false">Inputs!$D$44</f>
        <v>1</v>
      </c>
      <c r="J75" s="47" t="n">
        <f aca="false">Inputs!$D$44</f>
        <v>1</v>
      </c>
      <c r="K75" s="47" t="n">
        <f aca="false">Inputs!$D$44</f>
        <v>1</v>
      </c>
      <c r="L75" s="47" t="n">
        <f aca="false">Inputs!$D$44</f>
        <v>1</v>
      </c>
    </row>
    <row r="76" customFormat="false" ht="15" hidden="false" customHeight="false" outlineLevel="0" collapsed="false">
      <c r="A76" s="5" t="s">
        <v>390</v>
      </c>
      <c r="C76" s="14" t="n">
        <v>0</v>
      </c>
      <c r="D76" s="14" t="n">
        <f aca="false">D75*($B$68*D73+$B$69*D74)</f>
        <v>145987.402030056</v>
      </c>
      <c r="E76" s="14" t="n">
        <f aca="false">E75*($B$68*E73+$B$69*E74)</f>
        <v>613297.652225734</v>
      </c>
      <c r="F76" s="14" t="n">
        <f aca="false">F75*($B$68*F73+$B$69*F74)</f>
        <v>1327869.44999997</v>
      </c>
      <c r="G76" s="14" t="n">
        <f aca="false">G75*($B$68*G73+$B$69*G74)</f>
        <v>2329052.04296964</v>
      </c>
      <c r="H76" s="14" t="n">
        <f aca="false">H75*($B$68*H73+$B$69*H74)</f>
        <v>2608795.08611545</v>
      </c>
      <c r="I76" s="14" t="n">
        <f aca="false">I75*($B$68*I73+$B$69*I74)</f>
        <v>2880707.16889396</v>
      </c>
      <c r="J76" s="14" t="n">
        <f aca="false">J75*($B$68*J73+$B$69*J74)</f>
        <v>3143968.22048677</v>
      </c>
      <c r="K76" s="14" t="n">
        <f aca="false">K75*($B$68*K73+$B$69*K74)</f>
        <v>3398267.11178237</v>
      </c>
      <c r="L76" s="14" t="n">
        <f aca="false">L75*($B$68*L73+$B$69*L74)</f>
        <v>3643714.49029479</v>
      </c>
    </row>
    <row r="77" customFormat="false" ht="15" hidden="false" customHeight="false" outlineLevel="0" collapsed="false">
      <c r="A77" s="5" t="s">
        <v>391</v>
      </c>
      <c r="D77" s="11" t="n">
        <f aca="false">D76*$B$65/1000000</f>
        <v>2.83384521651738</v>
      </c>
      <c r="E77" s="11" t="n">
        <f aca="false">E76*$B$65/1000000</f>
        <v>11.9050725877252</v>
      </c>
      <c r="F77" s="11" t="n">
        <f aca="false">F76*$B$65/1000000</f>
        <v>25.7760357175702</v>
      </c>
      <c r="G77" s="11" t="n">
        <f aca="false">G76*$B$65/1000000</f>
        <v>45.2105654269449</v>
      </c>
      <c r="H77" s="11" t="n">
        <f aca="false">H76*$B$65/1000000</f>
        <v>50.6408181312813</v>
      </c>
      <c r="I77" s="11" t="n">
        <f aca="false">I76*$B$65/1000000</f>
        <v>55.9190595711593</v>
      </c>
      <c r="J77" s="11" t="n">
        <f aca="false">J76*$B$65/1000000</f>
        <v>61.0293708814326</v>
      </c>
      <c r="K77" s="11" t="n">
        <f aca="false">K76*$B$65/1000000</f>
        <v>65.9657125564174</v>
      </c>
      <c r="L77" s="11" t="n">
        <f aca="false">L76*$B$65/1000000</f>
        <v>70.7302324384888</v>
      </c>
    </row>
    <row r="78" customFormat="false" ht="15" hidden="false" customHeight="false" outlineLevel="0" collapsed="false">
      <c r="A78" s="5" t="s">
        <v>392</v>
      </c>
      <c r="D78" s="11" t="n">
        <f aca="false">Inputs!$D$31*MAX(0,D76-C76)/1000000</f>
        <v>0.437962206090168</v>
      </c>
      <c r="E78" s="11" t="n">
        <f aca="false">Inputs!$D$31*MAX(0,E76-D76)/1000000</f>
        <v>1.40193075058703</v>
      </c>
      <c r="F78" s="11" t="n">
        <f aca="false">Inputs!$D$31*MAX(0,F76-E76)/1000000</f>
        <v>2.14371539332272</v>
      </c>
      <c r="G78" s="11" t="n">
        <f aca="false">Inputs!$D$31*MAX(0,G76-F76)/1000000</f>
        <v>3.003547778909</v>
      </c>
      <c r="H78" s="11" t="n">
        <f aca="false">Inputs!$D$31*MAX(0,H76-G76)/1000000</f>
        <v>0.839229129437415</v>
      </c>
      <c r="I78" s="11" t="n">
        <f aca="false">Inputs!$D$31*MAX(0,I76-H76)/1000000</f>
        <v>0.81573624833554</v>
      </c>
      <c r="J78" s="11" t="n">
        <f aca="false">Inputs!$D$31*MAX(0,J76-I76)/1000000</f>
        <v>0.789783154778416</v>
      </c>
      <c r="K78" s="11" t="n">
        <f aca="false">Inputs!$D$31*MAX(0,K76-J76)/1000000</f>
        <v>0.762896673886823</v>
      </c>
      <c r="L78" s="11" t="n">
        <f aca="false">Inputs!$D$31*MAX(0,L76-K76)/1000000</f>
        <v>0.736342135537261</v>
      </c>
    </row>
    <row r="79" customFormat="false" ht="15" hidden="false" customHeight="false" outlineLevel="0" collapsed="false">
      <c r="A79" s="5" t="s">
        <v>393</v>
      </c>
      <c r="D79" s="11" t="n">
        <f aca="false">Inputs!$D$30*$B$66</f>
        <v>15.5379688782385</v>
      </c>
      <c r="E79" s="11" t="n">
        <f aca="false">Inputs!$D$30*$B$66</f>
        <v>15.5379688782385</v>
      </c>
      <c r="F79" s="11" t="n">
        <f aca="false">Inputs!$D$30*$B$66</f>
        <v>15.5379688782385</v>
      </c>
      <c r="G79" s="11" t="n">
        <f aca="false">Inputs!$D$30*$B$66</f>
        <v>15.5379688782385</v>
      </c>
      <c r="H79" s="11" t="n">
        <f aca="false">Inputs!$D$30*$B$66</f>
        <v>15.5379688782385</v>
      </c>
      <c r="I79" s="11" t="n">
        <f aca="false">Inputs!$D$30*$B$66</f>
        <v>15.5379688782385</v>
      </c>
      <c r="J79" s="11" t="n">
        <f aca="false">Inputs!$D$30*$B$66</f>
        <v>15.5379688782385</v>
      </c>
      <c r="K79" s="11" t="n">
        <f aca="false">Inputs!$D$30*$B$66</f>
        <v>15.5379688782385</v>
      </c>
      <c r="L79" s="11" t="n">
        <f aca="false">Inputs!$D$30*$B$66</f>
        <v>15.5379688782385</v>
      </c>
    </row>
    <row r="80" customFormat="false" ht="15" hidden="false" customHeight="false" outlineLevel="0" collapsed="false">
      <c r="A80" s="5" t="s">
        <v>394</v>
      </c>
      <c r="D80" s="11" t="n">
        <f aca="false">D77*Inputs!$D$29-D78</f>
        <v>0.978960402168523</v>
      </c>
      <c r="E80" s="11" t="n">
        <f aca="false">E77*Inputs!$D$29-E78</f>
        <v>4.55060554327557</v>
      </c>
      <c r="F80" s="11" t="n">
        <f aca="false">F77*Inputs!$D$29-F78</f>
        <v>10.7443024654624</v>
      </c>
      <c r="G80" s="11" t="n">
        <f aca="false">G77*Inputs!$D$29-G78</f>
        <v>19.6017349345635</v>
      </c>
      <c r="H80" s="11" t="n">
        <f aca="false">H77*Inputs!$D$29-H78</f>
        <v>24.4811799362032</v>
      </c>
      <c r="I80" s="11" t="n">
        <f aca="false">I77*Inputs!$D$29-I78</f>
        <v>27.1437935372441</v>
      </c>
      <c r="J80" s="11" t="n">
        <f aca="false">J77*Inputs!$D$29-J78</f>
        <v>29.7249022859379</v>
      </c>
      <c r="K80" s="11" t="n">
        <f aca="false">K77*Inputs!$D$29-K78</f>
        <v>32.2199596043219</v>
      </c>
      <c r="L80" s="11" t="n">
        <f aca="false">L77*Inputs!$D$29-L78</f>
        <v>34.6287740837071</v>
      </c>
    </row>
    <row r="81" customFormat="false" ht="15" hidden="false" customHeight="false" outlineLevel="0" collapsed="false">
      <c r="A81" s="5" t="s">
        <v>395</v>
      </c>
      <c r="D81" s="11" t="n">
        <f aca="false">D80-D79</f>
        <v>-14.55900847607</v>
      </c>
      <c r="E81" s="11" t="n">
        <f aca="false">E80-E79</f>
        <v>-10.987363334963</v>
      </c>
      <c r="F81" s="11" t="n">
        <f aca="false">F80-F79</f>
        <v>-4.79366641277617</v>
      </c>
      <c r="G81" s="11" t="n">
        <f aca="false">G80-G79</f>
        <v>4.06376605632493</v>
      </c>
      <c r="H81" s="11" t="n">
        <f aca="false">H80-H79</f>
        <v>8.94321105796471</v>
      </c>
      <c r="I81" s="11" t="n">
        <f aca="false">I80-I79</f>
        <v>11.6058246590056</v>
      </c>
      <c r="J81" s="11" t="n">
        <f aca="false">J80-J79</f>
        <v>14.1869334076993</v>
      </c>
      <c r="K81" s="11" t="n">
        <f aca="false">K80-K79</f>
        <v>16.6819907260834</v>
      </c>
      <c r="L81" s="11" t="n">
        <f aca="false">L80-L79</f>
        <v>19.0908052054686</v>
      </c>
    </row>
    <row r="82" customFormat="false" ht="15" hidden="false" customHeight="false" outlineLevel="0" collapsed="false">
      <c r="A82" s="5" t="s">
        <v>396</v>
      </c>
      <c r="D82" s="48" t="n">
        <f aca="false">1/(1+$B$67)^(D70-2026)</f>
        <v>0.886530613178621</v>
      </c>
      <c r="E82" s="48" t="n">
        <f aca="false">1/(1+$B$67)^(E70-2026)</f>
        <v>0.785936528102862</v>
      </c>
      <c r="F82" s="48" t="n">
        <f aca="false">1/(1+$B$67)^(F70-2026)</f>
        <v>0.696756792178507</v>
      </c>
      <c r="G82" s="48" t="n">
        <f aca="false">1/(1+$B$67)^(G70-2026)</f>
        <v>0.617696226206381</v>
      </c>
      <c r="H82" s="48" t="n">
        <f aca="false">1/(1+$B$67)^(H70-2026)</f>
        <v>0.547606614176864</v>
      </c>
      <c r="I82" s="48" t="n">
        <f aca="false">1/(1+$B$67)^(I70-2026)</f>
        <v>0.485470027446884</v>
      </c>
      <c r="J82" s="48" t="n">
        <f aca="false">1/(1+$B$67)^(J70-2026)</f>
        <v>0.430384041112328</v>
      </c>
      <c r="K82" s="48" t="n">
        <f aca="false">1/(1+$B$67)^(K70-2026)</f>
        <v>0.381548627869605</v>
      </c>
      <c r="L82" s="48" t="n">
        <f aca="false">1/(1+$B$67)^(L70-2026)</f>
        <v>0.338254539022702</v>
      </c>
    </row>
    <row r="83" customFormat="false" ht="15" hidden="false" customHeight="false" outlineLevel="0" collapsed="false">
      <c r="A83" s="5" t="s">
        <v>397</v>
      </c>
      <c r="D83" s="11" t="n">
        <f aca="false">D81*D82</f>
        <v>-12.9070067115631</v>
      </c>
      <c r="E83" s="11" t="n">
        <f aca="false">E81*E82</f>
        <v>-8.63537019248547</v>
      </c>
      <c r="F83" s="11" t="n">
        <f aca="false">F81*F82</f>
        <v>-3.34001963253977</v>
      </c>
      <c r="G83" s="11" t="n">
        <f aca="false">G81*G82</f>
        <v>2.5101729571775</v>
      </c>
      <c r="H83" s="11" t="n">
        <f aca="false">H81*H82</f>
        <v>4.89736152732114</v>
      </c>
      <c r="I83" s="11" t="n">
        <f aca="false">I81*I82</f>
        <v>5.63428001575116</v>
      </c>
      <c r="J83" s="11" t="n">
        <f aca="false">J81*J82</f>
        <v>6.10582973099713</v>
      </c>
      <c r="K83" s="11" t="n">
        <f aca="false">K81*K82</f>
        <v>6.36499067167058</v>
      </c>
      <c r="L83" s="11" t="n">
        <f aca="false">L81*L82</f>
        <v>6.457551514348</v>
      </c>
    </row>
    <row r="84" customFormat="false" ht="15" hidden="false" customHeight="false" outlineLevel="0" collapsed="false">
      <c r="A84" s="5" t="s">
        <v>398</v>
      </c>
      <c r="C84" s="11" t="n">
        <f aca="false">-B87</f>
        <v>-25.8966147970642</v>
      </c>
      <c r="D84" s="11" t="n">
        <f aca="false">C84+D81</f>
        <v>-40.4556232731342</v>
      </c>
      <c r="E84" s="11" t="n">
        <f aca="false">D84+E81</f>
        <v>-51.4429866080971</v>
      </c>
      <c r="F84" s="11" t="n">
        <f aca="false">E84+F81</f>
        <v>-56.2366530208733</v>
      </c>
      <c r="G84" s="11" t="n">
        <f aca="false">F84+G81</f>
        <v>-52.1728869645484</v>
      </c>
      <c r="H84" s="11" t="n">
        <f aca="false">G84+H81</f>
        <v>-43.2296759065837</v>
      </c>
      <c r="I84" s="11" t="n">
        <f aca="false">H84+I81</f>
        <v>-31.6238512475781</v>
      </c>
      <c r="J84" s="11" t="n">
        <f aca="false">I84+J81</f>
        <v>-17.4369178398787</v>
      </c>
      <c r="K84" s="11" t="n">
        <f aca="false">J84+K81</f>
        <v>-0.754927113795372</v>
      </c>
      <c r="L84" s="11" t="n">
        <f aca="false">K84+L81</f>
        <v>18.3358780916733</v>
      </c>
    </row>
    <row r="85" customFormat="false" ht="15" hidden="false" customHeight="false" outlineLevel="0" collapsed="false">
      <c r="A85" s="5" t="s">
        <v>399</v>
      </c>
      <c r="D85" s="16" t="str">
        <f aca="false">IF(D84&gt;=0,D70,"")</f>
        <v/>
      </c>
      <c r="E85" s="16" t="str">
        <f aca="false">IF(E84&gt;=0,E70,"")</f>
        <v/>
      </c>
      <c r="F85" s="16" t="str">
        <f aca="false">IF(F84&gt;=0,F70,"")</f>
        <v/>
      </c>
      <c r="G85" s="16" t="str">
        <f aca="false">IF(G84&gt;=0,G70,"")</f>
        <v/>
      </c>
      <c r="H85" s="16" t="str">
        <f aca="false">IF(H84&gt;=0,H70,"")</f>
        <v/>
      </c>
      <c r="I85" s="16" t="str">
        <f aca="false">IF(I84&gt;=0,I70,"")</f>
        <v/>
      </c>
      <c r="J85" s="16" t="str">
        <f aca="false">IF(J84&gt;=0,J70,"")</f>
        <v/>
      </c>
      <c r="K85" s="16" t="str">
        <f aca="false">IF(K84&gt;=0,K70,"")</f>
        <v/>
      </c>
      <c r="L85" s="16" t="n">
        <f aca="false">IF(L84&gt;=0,L70,"")</f>
        <v>2035</v>
      </c>
    </row>
    <row r="87" customFormat="false" ht="15" hidden="false" customHeight="false" outlineLevel="0" collapsed="false">
      <c r="A87" s="5" t="s">
        <v>400</v>
      </c>
      <c r="B87" s="11" t="n">
        <f aca="false">Inputs!$D$32*$B$66</f>
        <v>25.8966147970642</v>
      </c>
    </row>
    <row r="88" customFormat="false" ht="15" hidden="false" customHeight="false" outlineLevel="0" collapsed="false">
      <c r="A88" s="7" t="s">
        <v>401</v>
      </c>
      <c r="B88" s="12" t="n">
        <f aca="false">-B87+SUM(D83:L83)+Inputs!$D$33*L81*L82</f>
        <v>13.478932655353</v>
      </c>
    </row>
    <row r="89" customFormat="false" ht="15" hidden="false" customHeight="false" outlineLevel="0" collapsed="false">
      <c r="A89" s="5" t="s">
        <v>402</v>
      </c>
      <c r="B89" s="11" t="n">
        <f aca="false">-MIN(C84:L84)</f>
        <v>56.2366530208733</v>
      </c>
    </row>
    <row r="90" customFormat="false" ht="15" hidden="false" customHeight="false" outlineLevel="0" collapsed="false">
      <c r="A90" s="5" t="s">
        <v>403</v>
      </c>
      <c r="B90" s="16" t="n">
        <f aca="false">IF(COUNT(C85:L85)=0,"none",MIN(C85:L85))</f>
        <v>2035</v>
      </c>
    </row>
    <row r="91" customFormat="false" ht="15" hidden="false" customHeight="false" outlineLevel="0" collapsed="false">
      <c r="A91" s="5" t="s">
        <v>404</v>
      </c>
      <c r="B91" s="11" t="n">
        <f aca="false">SUMPRODUCT(D77:L77,D82:L82)+Inputs!$D$33*L77*L82</f>
        <v>307.617347294761</v>
      </c>
    </row>
    <row r="92" customFormat="false" ht="15" hidden="false" customHeight="false" outlineLevel="0" collapsed="false">
      <c r="A92" s="5" t="s">
        <v>405</v>
      </c>
      <c r="B92" s="11" t="n">
        <f aca="false">SUMPRODUCT(D78:L78,D82:L82)+Inputs!$D$33*L78*L82</f>
        <v>7.82002546248643</v>
      </c>
    </row>
    <row r="93" customFormat="false" ht="15" hidden="false" customHeight="false" outlineLevel="0" collapsed="false">
      <c r="A93" s="5" t="s">
        <v>406</v>
      </c>
      <c r="B93" s="11" t="n">
        <f aca="false">B87+Inputs!$D$30*$B$66*(SUM(D82:L82)+Inputs!$D$33*L82)</f>
        <v>132.509715529541</v>
      </c>
    </row>
    <row r="94" customFormat="false" ht="15" hidden="false" customHeight="false" outlineLevel="0" collapsed="false">
      <c r="A94" s="5" t="s">
        <v>407</v>
      </c>
      <c r="B94" s="11" t="n">
        <f aca="false">Inputs!$D$29*B91-B92-B93</f>
        <v>13.478932655353</v>
      </c>
    </row>
    <row r="95" customFormat="false" ht="15" hidden="false" customHeight="false" outlineLevel="0" collapsed="false">
      <c r="A95" s="5" t="s">
        <v>408</v>
      </c>
      <c r="B95" s="49" t="n">
        <f aca="false">IF(Inputs!$D$29*B91-B92&gt;0,B93/(Inputs!$D$29*B91-B92),"n/a")</f>
        <v>0.907671364705823</v>
      </c>
    </row>
    <row r="96" customFormat="false" ht="15" hidden="false" customHeight="false" outlineLevel="0" collapsed="false">
      <c r="A96" s="5" t="s">
        <v>409</v>
      </c>
      <c r="B96" s="50" t="n">
        <f aca="false">ABS(B94-B88)</f>
        <v>0</v>
      </c>
    </row>
    <row r="98" customFormat="false" ht="15" hidden="false" customHeight="false" outlineLevel="0" collapsed="false">
      <c r="A98" s="3" t="s">
        <v>411</v>
      </c>
      <c r="B98" s="42" t="n">
        <f aca="false">MATCH(1,Scorecard!$AS$6:$AS$39,0)</f>
        <v>30</v>
      </c>
      <c r="C98" s="3"/>
      <c r="D98" s="3"/>
      <c r="E98" s="3"/>
      <c r="F98" s="3"/>
      <c r="G98" s="3"/>
      <c r="H98" s="3"/>
      <c r="I98" s="3"/>
      <c r="J98" s="3"/>
      <c r="K98" s="3"/>
      <c r="L98" s="3"/>
    </row>
    <row r="99" customFormat="false" ht="15" hidden="false" customHeight="false" outlineLevel="0" collapsed="false">
      <c r="A99" s="5" t="s">
        <v>36</v>
      </c>
      <c r="B99" s="34" t="str">
        <f aca="false">INDEX(Scorecard!$A$6:$A$39,$B$98)</f>
        <v>Tanzania</v>
      </c>
      <c r="C99" s="34" t="str">
        <f aca="false">INDEX(Scorecard!$B$6:$B$39,$B$98)</f>
        <v>TZA</v>
      </c>
    </row>
    <row r="100" customFormat="false" ht="15" hidden="false" customHeight="false" outlineLevel="0" collapsed="false">
      <c r="A100" s="5" t="s">
        <v>191</v>
      </c>
      <c r="B100" s="40" t="n">
        <f aca="false">INDEX(Data!$D$6:$D$39,$B$98)</f>
        <v>38155970</v>
      </c>
    </row>
    <row r="101" customFormat="false" ht="15" hidden="false" customHeight="false" outlineLevel="0" collapsed="false">
      <c r="A101" s="5" t="s">
        <v>203</v>
      </c>
      <c r="B101" s="39" t="n">
        <f aca="false">INDEX(Data!$P$6:$P$39,$B$98)</f>
        <v>2.87426672866542</v>
      </c>
    </row>
    <row r="102" customFormat="false" ht="15" hidden="false" customHeight="false" outlineLevel="0" collapsed="false">
      <c r="A102" s="5" t="s">
        <v>379</v>
      </c>
      <c r="B102" s="36" t="n">
        <f aca="false">INDEX(Data!$E$6:$E$39,$B$98)</f>
        <v>0.528539837276394</v>
      </c>
    </row>
    <row r="103" customFormat="false" ht="15" hidden="false" customHeight="false" outlineLevel="0" collapsed="false">
      <c r="A103" s="5" t="s">
        <v>290</v>
      </c>
      <c r="B103" s="39" t="n">
        <f aca="false">INDEX(Forecast!$E$6:$E$39,$B$98)</f>
        <v>0.114283572483917</v>
      </c>
    </row>
    <row r="104" customFormat="false" ht="15" hidden="false" customHeight="false" outlineLevel="0" collapsed="false">
      <c r="A104" s="5" t="s">
        <v>380</v>
      </c>
      <c r="B104" s="43" t="n">
        <f aca="false">INDEX(Forecast!$F$6:$F$39,$B$98)*Inputs!$E$16</f>
        <v>0.268090592156415</v>
      </c>
    </row>
    <row r="105" customFormat="false" ht="15" hidden="false" customHeight="false" outlineLevel="0" collapsed="false">
      <c r="A105" s="5" t="s">
        <v>381</v>
      </c>
      <c r="B105" s="44" t="n">
        <f aca="false">INDEX(Pools!$J$6:$J$39,$B$98)</f>
        <v>24.8468143600189</v>
      </c>
    </row>
    <row r="106" customFormat="false" ht="15" hidden="false" customHeight="false" outlineLevel="0" collapsed="false">
      <c r="A106" s="5" t="s">
        <v>307</v>
      </c>
      <c r="B106" s="39" t="n">
        <f aca="false">INDEX(Pools!$G$6:$G$39,$B$98)</f>
        <v>1.29483073985321</v>
      </c>
    </row>
    <row r="107" customFormat="false" ht="15" hidden="false" customHeight="false" outlineLevel="0" collapsed="false">
      <c r="A107" s="5" t="s">
        <v>46</v>
      </c>
      <c r="B107" s="36" t="n">
        <f aca="false">INDEX(Scorecard!$AT$6:$AT$39,$B$98)</f>
        <v>0.127992632329456</v>
      </c>
    </row>
    <row r="108" customFormat="false" ht="15" hidden="false" customHeight="false" outlineLevel="0" collapsed="false">
      <c r="A108" s="5" t="s">
        <v>382</v>
      </c>
      <c r="B108" s="36" t="n">
        <f aca="false">Inputs!$E$19</f>
        <v>0.05</v>
      </c>
    </row>
    <row r="109" customFormat="false" ht="15" hidden="false" customHeight="false" outlineLevel="0" collapsed="false">
      <c r="A109" s="5" t="s">
        <v>383</v>
      </c>
      <c r="B109" s="36" t="n">
        <f aca="false">Inputs!$E$18</f>
        <v>0.22</v>
      </c>
    </row>
    <row r="110" customFormat="false" ht="15" hidden="false" customHeight="false" outlineLevel="0" collapsed="false">
      <c r="A110" s="45" t="s">
        <v>384</v>
      </c>
      <c r="B110" s="45"/>
      <c r="C110" s="46" t="n">
        <v>2026</v>
      </c>
      <c r="D110" s="46" t="n">
        <v>2027</v>
      </c>
      <c r="E110" s="46" t="n">
        <v>2028</v>
      </c>
      <c r="F110" s="46" t="n">
        <v>2029</v>
      </c>
      <c r="G110" s="46" t="n">
        <v>2030</v>
      </c>
      <c r="H110" s="46" t="n">
        <v>2031</v>
      </c>
      <c r="I110" s="46" t="n">
        <v>2032</v>
      </c>
      <c r="J110" s="46" t="n">
        <v>2033</v>
      </c>
      <c r="K110" s="46" t="n">
        <v>2034</v>
      </c>
      <c r="L110" s="46" t="n">
        <v>2035</v>
      </c>
    </row>
    <row r="111" customFormat="false" ht="15" hidden="false" customHeight="false" outlineLevel="0" collapsed="false">
      <c r="A111" s="5" t="s">
        <v>385</v>
      </c>
      <c r="D111" s="14" t="n">
        <f aca="false">$B$100*(1+$B$101/100)^(D110-2024)</f>
        <v>41541555.7092658</v>
      </c>
      <c r="E111" s="14" t="n">
        <f aca="false">$B$100*(1+$B$101/100)^(E110-2024)</f>
        <v>42735570.8235872</v>
      </c>
      <c r="F111" s="14" t="n">
        <f aca="false">$B$100*(1+$B$101/100)^(F110-2024)</f>
        <v>43963905.1170748</v>
      </c>
      <c r="G111" s="14" t="n">
        <f aca="false">$B$100*(1+$B$101/100)^(G110-2024)</f>
        <v>45227545.0144769</v>
      </c>
      <c r="H111" s="14" t="n">
        <f aca="false">$B$100*(1+$B$101/100)^(H110-2024)</f>
        <v>46527505.2930202</v>
      </c>
      <c r="I111" s="14" t="n">
        <f aca="false">$B$100*(1+$B$101/100)^(I110-2024)</f>
        <v>47864829.8973355</v>
      </c>
      <c r="J111" s="14" t="n">
        <f aca="false">$B$100*(1+$B$101/100)^(J110-2024)</f>
        <v>49240592.777807</v>
      </c>
      <c r="K111" s="14" t="n">
        <f aca="false">$B$100*(1+$B$101/100)^(K110-2024)</f>
        <v>50655898.7530171</v>
      </c>
      <c r="L111" s="14" t="n">
        <f aca="false">$B$100*(1+$B$101/100)^(L110-2024)</f>
        <v>52111884.3969815</v>
      </c>
    </row>
    <row r="112" customFormat="false" ht="15" hidden="false" customHeight="false" outlineLevel="0" collapsed="false">
      <c r="A112" s="5" t="s">
        <v>386</v>
      </c>
      <c r="D112" s="13" t="n">
        <f aca="false">MIN(1/(1+EXP(-($B$103+$B$104*(D110-2024)))),MAX(Inputs!$D$9,$B$102))</f>
        <v>0.714747656669978</v>
      </c>
      <c r="E112" s="13" t="n">
        <f aca="false">MIN(1/(1+EXP(-($B$103+$B$104*(E110-2024)))),MAX(Inputs!$D$9,$B$102))</f>
        <v>0.766140656862896</v>
      </c>
      <c r="F112" s="13" t="n">
        <f aca="false">MIN(1/(1+EXP(-($B$103+$B$104*(F110-2024)))),MAX(Inputs!$D$9,$B$102))</f>
        <v>0.810726320922905</v>
      </c>
      <c r="G112" s="13" t="n">
        <f aca="false">MIN(1/(1+EXP(-($B$103+$B$104*(G110-2024)))),MAX(Inputs!$D$9,$B$102))</f>
        <v>0.848492629657157</v>
      </c>
      <c r="H112" s="13" t="n">
        <f aca="false">MIN(1/(1+EXP(-($B$103+$B$104*(H110-2024)))),MAX(Inputs!$D$9,$B$102))</f>
        <v>0.879840193770082</v>
      </c>
      <c r="I112" s="13" t="n">
        <f aca="false">MIN(1/(1+EXP(-($B$103+$B$104*(I110-2024)))),MAX(Inputs!$D$9,$B$102))</f>
        <v>0.905424745979053</v>
      </c>
      <c r="J112" s="13" t="n">
        <f aca="false">MIN(1/(1+EXP(-($B$103+$B$104*(J110-2024)))),MAX(Inputs!$D$9,$B$102))</f>
        <v>0.92</v>
      </c>
      <c r="K112" s="13" t="n">
        <f aca="false">MIN(1/(1+EXP(-($B$103+$B$104*(K110-2024)))),MAX(Inputs!$D$9,$B$102))</f>
        <v>0.92</v>
      </c>
      <c r="L112" s="13" t="n">
        <f aca="false">MIN(1/(1+EXP(-($B$103+$B$104*(L110-2024)))),MAX(Inputs!$D$9,$B$102))</f>
        <v>0.92</v>
      </c>
    </row>
    <row r="113" customFormat="false" ht="15" hidden="false" customHeight="false" outlineLevel="0" collapsed="false">
      <c r="A113" s="5" t="s">
        <v>387</v>
      </c>
      <c r="D113" s="14" t="n">
        <f aca="false">D111*$B$102</f>
        <v>21956367.0947836</v>
      </c>
      <c r="E113" s="14" t="n">
        <f aca="false">E111*$B$102</f>
        <v>22587451.6490126</v>
      </c>
      <c r="F113" s="14" t="n">
        <f aca="false">F111*$B$102</f>
        <v>23236675.2566136</v>
      </c>
      <c r="G113" s="14" t="n">
        <f aca="false">G111*$B$102</f>
        <v>23904559.2823624</v>
      </c>
      <c r="H113" s="14" t="n">
        <f aca="false">H111*$B$102</f>
        <v>24591640.0764495</v>
      </c>
      <c r="I113" s="14" t="n">
        <f aca="false">I111*$B$102</f>
        <v>25298469.4052</v>
      </c>
      <c r="J113" s="14" t="n">
        <f aca="false">J111*$B$102</f>
        <v>26025614.8941753</v>
      </c>
      <c r="K113" s="14" t="n">
        <f aca="false">K111*$B$102</f>
        <v>26773660.4840091</v>
      </c>
      <c r="L113" s="14" t="n">
        <f aca="false">L111*$B$102</f>
        <v>27543206.8993469</v>
      </c>
    </row>
    <row r="114" customFormat="false" ht="15" hidden="false" customHeight="false" outlineLevel="0" collapsed="false">
      <c r="A114" s="5" t="s">
        <v>388</v>
      </c>
      <c r="D114" s="14" t="n">
        <f aca="false">MAX(0,D111*D112-D113)</f>
        <v>7735362.50283948</v>
      </c>
      <c r="E114" s="14" t="n">
        <f aca="false">MAX(0,E111*E112-E113)</f>
        <v>10154006.6531813</v>
      </c>
      <c r="F114" s="14" t="n">
        <f aca="false">MAX(0,F111*F112-F113)</f>
        <v>12406019.7923562</v>
      </c>
      <c r="G114" s="14" t="n">
        <f aca="false">MAX(0,G111*G112-G113)</f>
        <v>14470679.3199086</v>
      </c>
      <c r="H114" s="14" t="n">
        <f aca="false">MAX(0,H111*H112-H113)</f>
        <v>16345129.1961999</v>
      </c>
      <c r="I114" s="14" t="n">
        <f aca="false">MAX(0,I111*I112-I113)</f>
        <v>18039532.0459256</v>
      </c>
      <c r="J114" s="14" t="n">
        <f aca="false">MAX(0,J111*J112-J113)</f>
        <v>19275730.4614071</v>
      </c>
      <c r="K114" s="14" t="n">
        <f aca="false">MAX(0,K111*K112-K113)</f>
        <v>19829766.3687666</v>
      </c>
      <c r="L114" s="14" t="n">
        <f aca="false">MAX(0,L111*L112-L113)</f>
        <v>20399726.7458761</v>
      </c>
    </row>
    <row r="115" customFormat="false" ht="15" hidden="false" customHeight="false" outlineLevel="0" collapsed="false">
      <c r="A115" s="5" t="s">
        <v>389</v>
      </c>
      <c r="D115" s="47" t="n">
        <f aca="false">Inputs!$D$41</f>
        <v>0.1</v>
      </c>
      <c r="E115" s="47" t="n">
        <f aca="false">Inputs!$D$42</f>
        <v>0.35</v>
      </c>
      <c r="F115" s="47" t="n">
        <f aca="false">Inputs!$D$43</f>
        <v>0.65</v>
      </c>
      <c r="G115" s="47" t="n">
        <f aca="false">Inputs!$D$44</f>
        <v>1</v>
      </c>
      <c r="H115" s="47" t="n">
        <f aca="false">Inputs!$D$44</f>
        <v>1</v>
      </c>
      <c r="I115" s="47" t="n">
        <f aca="false">Inputs!$D$44</f>
        <v>1</v>
      </c>
      <c r="J115" s="47" t="n">
        <f aca="false">Inputs!$D$44</f>
        <v>1</v>
      </c>
      <c r="K115" s="47" t="n">
        <f aca="false">Inputs!$D$44</f>
        <v>1</v>
      </c>
      <c r="L115" s="47" t="n">
        <f aca="false">Inputs!$D$44</f>
        <v>1</v>
      </c>
    </row>
    <row r="116" customFormat="false" ht="15" hidden="false" customHeight="false" outlineLevel="0" collapsed="false">
      <c r="A116" s="5" t="s">
        <v>390</v>
      </c>
      <c r="C116" s="14" t="n">
        <v>0</v>
      </c>
      <c r="D116" s="14" t="n">
        <f aca="false">D115*($B$108*D113+$B$109*D114)</f>
        <v>279959.810536386</v>
      </c>
      <c r="E116" s="14" t="n">
        <f aca="false">E115*($B$108*E113+$B$109*E114)</f>
        <v>1177138.91615268</v>
      </c>
      <c r="F116" s="14" t="n">
        <f aca="false">F115*($B$108*F113+$B$109*F114)</f>
        <v>2529252.77614687</v>
      </c>
      <c r="G116" s="14" t="n">
        <f aca="false">G115*($B$108*G113+$B$109*G114)</f>
        <v>4378777.414498</v>
      </c>
      <c r="H116" s="14" t="n">
        <f aca="false">H115*($B$108*H113+$B$109*H114)</f>
        <v>4825510.42698646</v>
      </c>
      <c r="I116" s="14" t="n">
        <f aca="false">I115*($B$108*I113+$B$109*I114)</f>
        <v>5233620.52036364</v>
      </c>
      <c r="J116" s="14" t="n">
        <f aca="false">J115*($B$108*J113+$B$109*J114)</f>
        <v>5541941.44621833</v>
      </c>
      <c r="K116" s="14" t="n">
        <f aca="false">K115*($B$108*K113+$B$109*K114)</f>
        <v>5701231.62532911</v>
      </c>
      <c r="L116" s="14" t="n">
        <f aca="false">L115*($B$108*L113+$B$109*L114)</f>
        <v>5865100.22906009</v>
      </c>
    </row>
    <row r="117" customFormat="false" ht="15" hidden="false" customHeight="false" outlineLevel="0" collapsed="false">
      <c r="A117" s="5" t="s">
        <v>391</v>
      </c>
      <c r="D117" s="11" t="n">
        <f aca="false">D116*$B$105/1000000</f>
        <v>6.95610944066366</v>
      </c>
      <c r="E117" s="11" t="n">
        <f aca="false">E116*$B$105/1000000</f>
        <v>29.2481521255996</v>
      </c>
      <c r="F117" s="11" t="n">
        <f aca="false">F116*$B$105/1000000</f>
        <v>62.8438741984839</v>
      </c>
      <c r="G117" s="11" t="n">
        <f aca="false">G116*$B$105/1000000</f>
        <v>108.798669541876</v>
      </c>
      <c r="H117" s="11" t="n">
        <f aca="false">H116*$B$105/1000000</f>
        <v>119.898561771668</v>
      </c>
      <c r="I117" s="11" t="n">
        <f aca="false">I116*$B$105/1000000</f>
        <v>130.038797500261</v>
      </c>
      <c r="J117" s="11" t="n">
        <f aca="false">J116*$B$105/1000000</f>
        <v>137.699590308282</v>
      </c>
      <c r="K117" s="11" t="n">
        <f aca="false">K116*$B$105/1000000</f>
        <v>141.657443818021</v>
      </c>
      <c r="L117" s="11" t="n">
        <f aca="false">L116*$B$105/1000000</f>
        <v>145.729056594361</v>
      </c>
    </row>
    <row r="118" customFormat="false" ht="15" hidden="false" customHeight="false" outlineLevel="0" collapsed="false">
      <c r="A118" s="5" t="s">
        <v>392</v>
      </c>
      <c r="D118" s="11" t="n">
        <f aca="false">Inputs!$D$31*MAX(0,D116-C116)/1000000</f>
        <v>0.839879431609159</v>
      </c>
      <c r="E118" s="11" t="n">
        <f aca="false">Inputs!$D$31*MAX(0,E116-D116)/1000000</f>
        <v>2.69153731684888</v>
      </c>
      <c r="F118" s="11" t="n">
        <f aca="false">Inputs!$D$31*MAX(0,F116-E116)/1000000</f>
        <v>4.05634157998258</v>
      </c>
      <c r="G118" s="11" t="n">
        <f aca="false">Inputs!$D$31*MAX(0,G116-F116)/1000000</f>
        <v>5.54857391505339</v>
      </c>
      <c r="H118" s="11" t="n">
        <f aca="false">Inputs!$D$31*MAX(0,H116-G116)/1000000</f>
        <v>1.34019903746537</v>
      </c>
      <c r="I118" s="11" t="n">
        <f aca="false">Inputs!$D$31*MAX(0,I116-H116)/1000000</f>
        <v>1.22433028013154</v>
      </c>
      <c r="J118" s="11" t="n">
        <f aca="false">Inputs!$D$31*MAX(0,J116-I116)/1000000</f>
        <v>0.92496277756408</v>
      </c>
      <c r="K118" s="11" t="n">
        <f aca="false">Inputs!$D$31*MAX(0,K116-J116)/1000000</f>
        <v>0.477870537332316</v>
      </c>
      <c r="L118" s="11" t="n">
        <f aca="false">Inputs!$D$31*MAX(0,L116-K116)/1000000</f>
        <v>0.491605811192958</v>
      </c>
    </row>
    <row r="119" customFormat="false" ht="15" hidden="false" customHeight="false" outlineLevel="0" collapsed="false">
      <c r="A119" s="5" t="s">
        <v>393</v>
      </c>
      <c r="D119" s="11" t="n">
        <f aca="false">Inputs!$D$30*$B$106</f>
        <v>15.5379688782385</v>
      </c>
      <c r="E119" s="11" t="n">
        <f aca="false">Inputs!$D$30*$B$106</f>
        <v>15.5379688782385</v>
      </c>
      <c r="F119" s="11" t="n">
        <f aca="false">Inputs!$D$30*$B$106</f>
        <v>15.5379688782385</v>
      </c>
      <c r="G119" s="11" t="n">
        <f aca="false">Inputs!$D$30*$B$106</f>
        <v>15.5379688782385</v>
      </c>
      <c r="H119" s="11" t="n">
        <f aca="false">Inputs!$D$30*$B$106</f>
        <v>15.5379688782385</v>
      </c>
      <c r="I119" s="11" t="n">
        <f aca="false">Inputs!$D$30*$B$106</f>
        <v>15.5379688782385</v>
      </c>
      <c r="J119" s="11" t="n">
        <f aca="false">Inputs!$D$30*$B$106</f>
        <v>15.5379688782385</v>
      </c>
      <c r="K119" s="11" t="n">
        <f aca="false">Inputs!$D$30*$B$106</f>
        <v>15.5379688782385</v>
      </c>
      <c r="L119" s="11" t="n">
        <f aca="false">Inputs!$D$30*$B$106</f>
        <v>15.5379688782385</v>
      </c>
    </row>
    <row r="120" customFormat="false" ht="15" hidden="false" customHeight="false" outlineLevel="0" collapsed="false">
      <c r="A120" s="5" t="s">
        <v>394</v>
      </c>
      <c r="D120" s="11" t="n">
        <f aca="false">D117*Inputs!$D$29-D118</f>
        <v>2.63817528872267</v>
      </c>
      <c r="E120" s="11" t="n">
        <f aca="false">E117*Inputs!$D$29-E118</f>
        <v>11.9325387459509</v>
      </c>
      <c r="F120" s="11" t="n">
        <f aca="false">F117*Inputs!$D$29-F118</f>
        <v>27.3655955192594</v>
      </c>
      <c r="G120" s="11" t="n">
        <f aca="false">G117*Inputs!$D$29-G118</f>
        <v>48.8507608558844</v>
      </c>
      <c r="H120" s="11" t="n">
        <f aca="false">H117*Inputs!$D$29-H118</f>
        <v>58.6090818483687</v>
      </c>
      <c r="I120" s="11" t="n">
        <f aca="false">I117*Inputs!$D$29-I118</f>
        <v>63.795068469999</v>
      </c>
      <c r="J120" s="11" t="n">
        <f aca="false">J117*Inputs!$D$29-J118</f>
        <v>67.9248323765768</v>
      </c>
      <c r="K120" s="11" t="n">
        <f aca="false">K117*Inputs!$D$29-K118</f>
        <v>70.3508513716783</v>
      </c>
      <c r="L120" s="11" t="n">
        <f aca="false">L117*Inputs!$D$29-L118</f>
        <v>72.3729224859873</v>
      </c>
    </row>
    <row r="121" customFormat="false" ht="15" hidden="false" customHeight="false" outlineLevel="0" collapsed="false">
      <c r="A121" s="5" t="s">
        <v>395</v>
      </c>
      <c r="D121" s="11" t="n">
        <f aca="false">D120-D119</f>
        <v>-12.8997935895158</v>
      </c>
      <c r="E121" s="11" t="n">
        <f aca="false">E120-E119</f>
        <v>-3.60543013228763</v>
      </c>
      <c r="F121" s="11" t="n">
        <f aca="false">F120-F119</f>
        <v>11.8276266410208</v>
      </c>
      <c r="G121" s="11" t="n">
        <f aca="false">G120-G119</f>
        <v>33.3127919776459</v>
      </c>
      <c r="H121" s="11" t="n">
        <f aca="false">H120-H119</f>
        <v>43.0711129701302</v>
      </c>
      <c r="I121" s="11" t="n">
        <f aca="false">I120-I119</f>
        <v>48.2570995917604</v>
      </c>
      <c r="J121" s="11" t="n">
        <f aca="false">J120-J119</f>
        <v>52.3868634983383</v>
      </c>
      <c r="K121" s="11" t="n">
        <f aca="false">K120-K119</f>
        <v>54.8128824934398</v>
      </c>
      <c r="L121" s="11" t="n">
        <f aca="false">L120-L119</f>
        <v>56.8349536077488</v>
      </c>
    </row>
    <row r="122" customFormat="false" ht="15" hidden="false" customHeight="false" outlineLevel="0" collapsed="false">
      <c r="A122" s="5" t="s">
        <v>396</v>
      </c>
      <c r="D122" s="48" t="n">
        <f aca="false">1/(1+$B$107)^(D110-2026)</f>
        <v>0.886530613178621</v>
      </c>
      <c r="E122" s="48" t="n">
        <f aca="false">1/(1+$B$107)^(E110-2026)</f>
        <v>0.785936528102862</v>
      </c>
      <c r="F122" s="48" t="n">
        <f aca="false">1/(1+$B$107)^(F110-2026)</f>
        <v>0.696756792178507</v>
      </c>
      <c r="G122" s="48" t="n">
        <f aca="false">1/(1+$B$107)^(G110-2026)</f>
        <v>0.617696226206381</v>
      </c>
      <c r="H122" s="48" t="n">
        <f aca="false">1/(1+$B$107)^(H110-2026)</f>
        <v>0.547606614176864</v>
      </c>
      <c r="I122" s="48" t="n">
        <f aca="false">1/(1+$B$107)^(I110-2026)</f>
        <v>0.485470027446884</v>
      </c>
      <c r="J122" s="48" t="n">
        <f aca="false">1/(1+$B$107)^(J110-2026)</f>
        <v>0.430384041112328</v>
      </c>
      <c r="K122" s="48" t="n">
        <f aca="false">1/(1+$B$107)^(K110-2026)</f>
        <v>0.381548627869605</v>
      </c>
      <c r="L122" s="48" t="n">
        <f aca="false">1/(1+$B$107)^(L110-2026)</f>
        <v>0.338254539022702</v>
      </c>
    </row>
    <row r="123" customFormat="false" ht="15" hidden="false" customHeight="false" outlineLevel="0" collapsed="false">
      <c r="A123" s="5" t="s">
        <v>397</v>
      </c>
      <c r="D123" s="11" t="n">
        <f aca="false">D121*D122</f>
        <v>-11.4360619207911</v>
      </c>
      <c r="E123" s="11" t="n">
        <f aca="false">E121*E122</f>
        <v>-2.83363924048758</v>
      </c>
      <c r="F123" s="11" t="n">
        <f aca="false">F121*F122</f>
        <v>8.24097919748274</v>
      </c>
      <c r="G123" s="11" t="n">
        <f aca="false">G121*G122</f>
        <v>20.5771858889901</v>
      </c>
      <c r="H123" s="11" t="n">
        <f aca="false">H121*H122</f>
        <v>23.5860263424022</v>
      </c>
      <c r="I123" s="11" t="n">
        <f aca="false">I121*I122</f>
        <v>23.4273754633189</v>
      </c>
      <c r="J123" s="11" t="n">
        <f aca="false">J121*J122</f>
        <v>22.5464700136147</v>
      </c>
      <c r="K123" s="11" t="n">
        <f aca="false">K121*K122</f>
        <v>20.9137801049498</v>
      </c>
      <c r="L123" s="11" t="n">
        <f aca="false">L121*L122</f>
        <v>19.2246810329658</v>
      </c>
    </row>
    <row r="124" customFormat="false" ht="15" hidden="false" customHeight="false" outlineLevel="0" collapsed="false">
      <c r="A124" s="5" t="s">
        <v>398</v>
      </c>
      <c r="C124" s="11" t="n">
        <f aca="false">-B127</f>
        <v>-25.8966147970642</v>
      </c>
      <c r="D124" s="11" t="n">
        <f aca="false">C124+D121</f>
        <v>-38.7964083865801</v>
      </c>
      <c r="E124" s="11" t="n">
        <f aca="false">D124+E121</f>
        <v>-42.4018385188677</v>
      </c>
      <c r="F124" s="11" t="n">
        <f aca="false">E124+F121</f>
        <v>-30.5742118778468</v>
      </c>
      <c r="G124" s="11" t="n">
        <f aca="false">F124+G121</f>
        <v>2.73858009979903</v>
      </c>
      <c r="H124" s="11" t="n">
        <f aca="false">G124+H121</f>
        <v>45.8096930699292</v>
      </c>
      <c r="I124" s="11" t="n">
        <f aca="false">H124+I121</f>
        <v>94.0667926616897</v>
      </c>
      <c r="J124" s="11" t="n">
        <f aca="false">I124+J121</f>
        <v>146.453656160028</v>
      </c>
      <c r="K124" s="11" t="n">
        <f aca="false">J124+K121</f>
        <v>201.266538653468</v>
      </c>
      <c r="L124" s="11" t="n">
        <f aca="false">K124+L121</f>
        <v>258.101492261217</v>
      </c>
    </row>
    <row r="125" customFormat="false" ht="15" hidden="false" customHeight="false" outlineLevel="0" collapsed="false">
      <c r="A125" s="5" t="s">
        <v>399</v>
      </c>
      <c r="D125" s="16" t="str">
        <f aca="false">IF(D124&gt;=0,D110,"")</f>
        <v/>
      </c>
      <c r="E125" s="16" t="str">
        <f aca="false">IF(E124&gt;=0,E110,"")</f>
        <v/>
      </c>
      <c r="F125" s="16" t="str">
        <f aca="false">IF(F124&gt;=0,F110,"")</f>
        <v/>
      </c>
      <c r="G125" s="16" t="n">
        <f aca="false">IF(G124&gt;=0,G110,"")</f>
        <v>2030</v>
      </c>
      <c r="H125" s="16" t="n">
        <f aca="false">IF(H124&gt;=0,H110,"")</f>
        <v>2031</v>
      </c>
      <c r="I125" s="16" t="n">
        <f aca="false">IF(I124&gt;=0,I110,"")</f>
        <v>2032</v>
      </c>
      <c r="J125" s="16" t="n">
        <f aca="false">IF(J124&gt;=0,J110,"")</f>
        <v>2033</v>
      </c>
      <c r="K125" s="16" t="n">
        <f aca="false">IF(K124&gt;=0,K110,"")</f>
        <v>2034</v>
      </c>
      <c r="L125" s="16" t="n">
        <f aca="false">IF(L124&gt;=0,L110,"")</f>
        <v>2035</v>
      </c>
    </row>
    <row r="127" customFormat="false" ht="15" hidden="false" customHeight="false" outlineLevel="0" collapsed="false">
      <c r="A127" s="5" t="s">
        <v>400</v>
      </c>
      <c r="B127" s="11" t="n">
        <f aca="false">Inputs!$D$32*$B$106</f>
        <v>25.8966147970642</v>
      </c>
    </row>
    <row r="128" customFormat="false" ht="15" hidden="false" customHeight="false" outlineLevel="0" collapsed="false">
      <c r="A128" s="7" t="s">
        <v>401</v>
      </c>
      <c r="B128" s="12" t="n">
        <f aca="false">-B127+SUM(D123:L123)+Inputs!$D$33*L121*L122</f>
        <v>194.47358725021</v>
      </c>
    </row>
    <row r="129" customFormat="false" ht="15" hidden="false" customHeight="false" outlineLevel="0" collapsed="false">
      <c r="A129" s="5" t="s">
        <v>402</v>
      </c>
      <c r="B129" s="11" t="n">
        <f aca="false">-MIN(C124:L124)</f>
        <v>42.4018385188677</v>
      </c>
    </row>
    <row r="130" customFormat="false" ht="15" hidden="false" customHeight="false" outlineLevel="0" collapsed="false">
      <c r="A130" s="5" t="s">
        <v>403</v>
      </c>
      <c r="B130" s="16" t="n">
        <f aca="false">IF(COUNT(C125:L125)=0,"none",MIN(C125:L125))</f>
        <v>2030</v>
      </c>
    </row>
    <row r="131" customFormat="false" ht="15" hidden="false" customHeight="false" outlineLevel="0" collapsed="false">
      <c r="A131" s="5" t="s">
        <v>404</v>
      </c>
      <c r="B131" s="11" t="n">
        <f aca="false">SUMPRODUCT(D117:L117,D122:L122)+Inputs!$D$33*L117*L122</f>
        <v>678.006601553659</v>
      </c>
    </row>
    <row r="132" customFormat="false" ht="15" hidden="false" customHeight="false" outlineLevel="0" collapsed="false">
      <c r="A132" s="5" t="s">
        <v>405</v>
      </c>
      <c r="B132" s="11" t="n">
        <f aca="false">SUMPRODUCT(D118:L118,D122:L122)+Inputs!$D$33*L118*L122</f>
        <v>12.0199979970784</v>
      </c>
    </row>
    <row r="133" customFormat="false" ht="15" hidden="false" customHeight="false" outlineLevel="0" collapsed="false">
      <c r="A133" s="5" t="s">
        <v>406</v>
      </c>
      <c r="B133" s="11" t="n">
        <f aca="false">B127+Inputs!$D$30*$B$106*(SUM(D122:L122)+Inputs!$D$33*L122)</f>
        <v>132.509715529541</v>
      </c>
    </row>
    <row r="134" customFormat="false" ht="15" hidden="false" customHeight="false" outlineLevel="0" collapsed="false">
      <c r="A134" s="5" t="s">
        <v>407</v>
      </c>
      <c r="B134" s="11" t="n">
        <f aca="false">Inputs!$D$29*B131-B132-B133</f>
        <v>194.47358725021</v>
      </c>
    </row>
    <row r="135" customFormat="false" ht="15" hidden="false" customHeight="false" outlineLevel="0" collapsed="false">
      <c r="A135" s="5" t="s">
        <v>408</v>
      </c>
      <c r="B135" s="49" t="n">
        <f aca="false">IF(Inputs!$D$29*B131-B132&gt;0,B133/(Inputs!$D$29*B131-B132),"n/a")</f>
        <v>0.405249180624971</v>
      </c>
    </row>
    <row r="136" customFormat="false" ht="15" hidden="false" customHeight="false" outlineLevel="0" collapsed="false">
      <c r="A136" s="5" t="s">
        <v>409</v>
      </c>
      <c r="B136" s="50" t="n">
        <f aca="false">ABS(B134-B128)</f>
        <v>0</v>
      </c>
    </row>
    <row r="138" customFormat="false" ht="15" hidden="false" customHeight="false" outlineLevel="0" collapsed="false">
      <c r="A138" s="3" t="s">
        <v>412</v>
      </c>
      <c r="B138" s="42" t="n">
        <f aca="false">MATCH(2,Scorecard!$AS$6:$AS$39,0)</f>
        <v>9</v>
      </c>
      <c r="C138" s="3"/>
      <c r="D138" s="3"/>
      <c r="E138" s="3"/>
      <c r="F138" s="3"/>
      <c r="G138" s="3"/>
      <c r="H138" s="3"/>
      <c r="I138" s="3"/>
      <c r="J138" s="3"/>
      <c r="K138" s="3"/>
      <c r="L138" s="3"/>
    </row>
    <row r="139" customFormat="false" ht="15" hidden="false" customHeight="false" outlineLevel="0" collapsed="false">
      <c r="A139" s="5" t="s">
        <v>36</v>
      </c>
      <c r="B139" s="34" t="str">
        <f aca="false">INDEX(Scorecard!$A$6:$A$39,$B$138)</f>
        <v>Cote d'Ivoire</v>
      </c>
      <c r="C139" s="34" t="str">
        <f aca="false">INDEX(Scorecard!$B$6:$B$39,$B$138)</f>
        <v>CIV</v>
      </c>
    </row>
    <row r="140" customFormat="false" ht="15" hidden="false" customHeight="false" outlineLevel="0" collapsed="false">
      <c r="A140" s="5" t="s">
        <v>191</v>
      </c>
      <c r="B140" s="40" t="n">
        <f aca="false">INDEX(Data!$D$6:$D$39,$B$138)</f>
        <v>18301587</v>
      </c>
    </row>
    <row r="141" customFormat="false" ht="15" hidden="false" customHeight="false" outlineLevel="0" collapsed="false">
      <c r="A141" s="5" t="s">
        <v>203</v>
      </c>
      <c r="B141" s="39" t="n">
        <f aca="false">INDEX(Data!$P$6:$P$39,$B$138)</f>
        <v>2.43618201263834</v>
      </c>
    </row>
    <row r="142" customFormat="false" ht="15" hidden="false" customHeight="false" outlineLevel="0" collapsed="false">
      <c r="A142" s="5" t="s">
        <v>379</v>
      </c>
      <c r="B142" s="36" t="n">
        <f aca="false">INDEX(Data!$E$6:$E$39,$B$138)</f>
        <v>0.533817787682129</v>
      </c>
    </row>
    <row r="143" customFormat="false" ht="15" hidden="false" customHeight="false" outlineLevel="0" collapsed="false">
      <c r="A143" s="5" t="s">
        <v>290</v>
      </c>
      <c r="B143" s="39" t="n">
        <f aca="false">INDEX(Forecast!$E$6:$E$39,$B$138)</f>
        <v>0.135477987904392</v>
      </c>
    </row>
    <row r="144" customFormat="false" ht="15" hidden="false" customHeight="false" outlineLevel="0" collapsed="false">
      <c r="A144" s="5" t="s">
        <v>380</v>
      </c>
      <c r="B144" s="43" t="n">
        <f aca="false">INDEX(Forecast!$F$6:$F$39,$B$138)*Inputs!$C$16</f>
        <v>0.0893635307188049</v>
      </c>
    </row>
    <row r="145" customFormat="false" ht="15" hidden="false" customHeight="false" outlineLevel="0" collapsed="false">
      <c r="A145" s="5" t="s">
        <v>381</v>
      </c>
      <c r="B145" s="44" t="n">
        <f aca="false">INDEX(Pools!$H$6:$H$39,$B$138)</f>
        <v>15.06694246502</v>
      </c>
    </row>
    <row r="146" customFormat="false" ht="15" hidden="false" customHeight="false" outlineLevel="0" collapsed="false">
      <c r="A146" s="5" t="s">
        <v>307</v>
      </c>
      <c r="B146" s="39" t="n">
        <f aca="false">INDEX(Pools!$G$6:$G$39,$B$138)</f>
        <v>0.96512485898663</v>
      </c>
    </row>
    <row r="147" customFormat="false" ht="15" hidden="false" customHeight="false" outlineLevel="0" collapsed="false">
      <c r="A147" s="5" t="s">
        <v>46</v>
      </c>
      <c r="B147" s="36" t="n">
        <f aca="false">INDEX(Scorecard!$AT$6:$AT$39,$B$138)</f>
        <v>0.125339934546042</v>
      </c>
    </row>
    <row r="148" customFormat="false" ht="15" hidden="false" customHeight="false" outlineLevel="0" collapsed="false">
      <c r="A148" s="5" t="s">
        <v>382</v>
      </c>
      <c r="B148" s="36" t="n">
        <f aca="false">Inputs!$C$19</f>
        <v>0.015</v>
      </c>
    </row>
    <row r="149" customFormat="false" ht="15" hidden="false" customHeight="false" outlineLevel="0" collapsed="false">
      <c r="A149" s="5" t="s">
        <v>383</v>
      </c>
      <c r="B149" s="36" t="n">
        <f aca="false">Inputs!$C$18</f>
        <v>0.08</v>
      </c>
    </row>
    <row r="150" customFormat="false" ht="15" hidden="false" customHeight="false" outlineLevel="0" collapsed="false">
      <c r="A150" s="45" t="s">
        <v>384</v>
      </c>
      <c r="B150" s="45"/>
      <c r="C150" s="46" t="n">
        <v>2026</v>
      </c>
      <c r="D150" s="46" t="n">
        <v>2027</v>
      </c>
      <c r="E150" s="46" t="n">
        <v>2028</v>
      </c>
      <c r="F150" s="46" t="n">
        <v>2029</v>
      </c>
      <c r="G150" s="46" t="n">
        <v>2030</v>
      </c>
      <c r="H150" s="46" t="n">
        <v>2031</v>
      </c>
      <c r="I150" s="46" t="n">
        <v>2032</v>
      </c>
      <c r="J150" s="46" t="n">
        <v>2033</v>
      </c>
      <c r="K150" s="46" t="n">
        <v>2034</v>
      </c>
      <c r="L150" s="46" t="n">
        <v>2035</v>
      </c>
    </row>
    <row r="151" customFormat="false" ht="15" hidden="false" customHeight="false" outlineLevel="0" collapsed="false">
      <c r="A151" s="5" t="s">
        <v>385</v>
      </c>
      <c r="D151" s="14" t="n">
        <f aca="false">$B$140*(1+$B$141/100)^(D150-2024)</f>
        <v>19672017.4098998</v>
      </c>
      <c r="E151" s="14" t="n">
        <f aca="false">$B$140*(1+$B$141/100)^(E150-2024)</f>
        <v>20151263.5595629</v>
      </c>
      <c r="F151" s="14" t="n">
        <f aca="false">$B$140*(1+$B$141/100)^(F150-2024)</f>
        <v>20642185.0177203</v>
      </c>
      <c r="G151" s="14" t="n">
        <f aca="false">$B$140*(1+$B$141/100)^(G150-2024)</f>
        <v>21145066.2161375</v>
      </c>
      <c r="H151" s="14" t="n">
        <f aca="false">$B$140*(1+$B$141/100)^(H150-2024)</f>
        <v>21660198.5158555</v>
      </c>
      <c r="I151" s="14" t="n">
        <f aca="false">$B$140*(1+$B$141/100)^(I150-2024)</f>
        <v>22187880.3760006</v>
      </c>
      <c r="J151" s="14" t="n">
        <f aca="false">$B$140*(1+$B$141/100)^(J150-2024)</f>
        <v>22728417.5267064</v>
      </c>
      <c r="K151" s="14" t="n">
        <f aca="false">$B$140*(1+$B$141/100)^(K150-2024)</f>
        <v>23282123.1462494</v>
      </c>
      <c r="L151" s="14" t="n">
        <f aca="false">$B$140*(1+$B$141/100)^(L150-2024)</f>
        <v>23849318.0424986</v>
      </c>
    </row>
    <row r="152" customFormat="false" ht="15" hidden="false" customHeight="false" outlineLevel="0" collapsed="false">
      <c r="A152" s="5" t="s">
        <v>386</v>
      </c>
      <c r="D152" s="13" t="n">
        <f aca="false">MIN(1/(1+EXP(-($B$143+$B$144*(D150-2024)))),MAX(Inputs!$D$9,$B$142))</f>
        <v>0.599544747065093</v>
      </c>
      <c r="E152" s="13" t="n">
        <f aca="false">MIN(1/(1+EXP(-($B$143+$B$144*(E150-2024)))),MAX(Inputs!$D$9,$B$142))</f>
        <v>0.620796919052216</v>
      </c>
      <c r="F152" s="13" t="n">
        <f aca="false">MIN(1/(1+EXP(-($B$143+$B$144*(F150-2024)))),MAX(Inputs!$D$9,$B$142))</f>
        <v>0.641595462175853</v>
      </c>
      <c r="G152" s="13" t="n">
        <f aca="false">MIN(1/(1+EXP(-($B$143+$B$144*(G150-2024)))),MAX(Inputs!$D$9,$B$142))</f>
        <v>0.661874576008992</v>
      </c>
      <c r="H152" s="13" t="n">
        <f aca="false">MIN(1/(1+EXP(-($B$143+$B$144*(H150-2024)))),MAX(Inputs!$D$9,$B$142))</f>
        <v>0.681575732471731</v>
      </c>
      <c r="I152" s="13" t="n">
        <f aca="false">MIN(1/(1+EXP(-($B$143+$B$144*(I150-2024)))),MAX(Inputs!$D$9,$B$142))</f>
        <v>0.70064815752055</v>
      </c>
      <c r="J152" s="13" t="n">
        <f aca="false">MIN(1/(1+EXP(-($B$143+$B$144*(J150-2024)))),MAX(Inputs!$D$9,$B$142))</f>
        <v>0.719049108214752</v>
      </c>
      <c r="K152" s="13" t="n">
        <f aca="false">MIN(1/(1+EXP(-($B$143+$B$144*(K150-2024)))),MAX(Inputs!$D$9,$B$142))</f>
        <v>0.736743953482496</v>
      </c>
      <c r="L152" s="13" t="n">
        <f aca="false">MIN(1/(1+EXP(-($B$143+$B$144*(L150-2024)))),MAX(Inputs!$D$9,$B$142))</f>
        <v>0.753706073986036</v>
      </c>
    </row>
    <row r="153" customFormat="false" ht="15" hidden="false" customHeight="false" outlineLevel="0" collapsed="false">
      <c r="A153" s="5" t="s">
        <v>387</v>
      </c>
      <c r="D153" s="14" t="n">
        <f aca="false">D151*$B$142</f>
        <v>10501272.812997</v>
      </c>
      <c r="E153" s="14" t="n">
        <f aca="false">E151*$B$142</f>
        <v>10757102.9323654</v>
      </c>
      <c r="F153" s="14" t="n">
        <f aca="false">F151*$B$142</f>
        <v>11019165.5390846</v>
      </c>
      <c r="G153" s="14" t="n">
        <f aca="false">G151*$B$142</f>
        <v>11287612.4678907</v>
      </c>
      <c r="H153" s="14" t="n">
        <f aca="false">H151*$B$142</f>
        <v>11562599.2524897</v>
      </c>
      <c r="I153" s="14" t="n">
        <f aca="false">I151*$B$142</f>
        <v>11844285.2156723</v>
      </c>
      <c r="J153" s="14" t="n">
        <f aca="false">J151*$B$142</f>
        <v>12132833.5616221</v>
      </c>
      <c r="K153" s="14" t="n">
        <f aca="false">K151*$B$142</f>
        <v>12428411.4704737</v>
      </c>
      <c r="L153" s="14" t="n">
        <f aca="false">L151*$B$142</f>
        <v>12731190.1951741</v>
      </c>
    </row>
    <row r="154" customFormat="false" ht="15" hidden="false" customHeight="false" outlineLevel="0" collapsed="false">
      <c r="A154" s="5" t="s">
        <v>388</v>
      </c>
      <c r="D154" s="14" t="n">
        <f aca="false">MAX(0,D151*D152-D153)</f>
        <v>1292981.88928146</v>
      </c>
      <c r="E154" s="14" t="n">
        <f aca="false">MAX(0,E151*E152-E153)</f>
        <v>1752739.40042046</v>
      </c>
      <c r="F154" s="14" t="n">
        <f aca="false">MAX(0,F151*F152-F153)</f>
        <v>2224766.69767908</v>
      </c>
      <c r="G154" s="14" t="n">
        <f aca="false">MAX(0,G151*G152-G153)</f>
        <v>2707769.26859743</v>
      </c>
      <c r="H154" s="14" t="n">
        <f aca="false">MAX(0,H151*H152-H153)</f>
        <v>3200466.4164376</v>
      </c>
      <c r="I154" s="14" t="n">
        <f aca="false">MAX(0,I151*I152-I153)</f>
        <v>3701612.28905882</v>
      </c>
      <c r="J154" s="14" t="n">
        <f aca="false">MAX(0,J151*J152-J153)</f>
        <v>4210014.79208865</v>
      </c>
      <c r="K154" s="14" t="n">
        <f aca="false">MAX(0,K151*K152-K153)</f>
        <v>4724551.98176036</v>
      </c>
      <c r="L154" s="14" t="n">
        <f aca="false">MAX(0,L151*L152-L153)</f>
        <v>5244185.67388187</v>
      </c>
    </row>
    <row r="155" customFormat="false" ht="15" hidden="false" customHeight="false" outlineLevel="0" collapsed="false">
      <c r="A155" s="5" t="s">
        <v>389</v>
      </c>
      <c r="D155" s="47" t="n">
        <f aca="false">Inputs!$D$41</f>
        <v>0.1</v>
      </c>
      <c r="E155" s="47" t="n">
        <f aca="false">Inputs!$D$42</f>
        <v>0.35</v>
      </c>
      <c r="F155" s="47" t="n">
        <f aca="false">Inputs!$D$43</f>
        <v>0.65</v>
      </c>
      <c r="G155" s="47" t="n">
        <f aca="false">Inputs!$D$44</f>
        <v>1</v>
      </c>
      <c r="H155" s="47" t="n">
        <f aca="false">Inputs!$D$44</f>
        <v>1</v>
      </c>
      <c r="I155" s="47" t="n">
        <f aca="false">Inputs!$D$44</f>
        <v>1</v>
      </c>
      <c r="J155" s="47" t="n">
        <f aca="false">Inputs!$D$44</f>
        <v>1</v>
      </c>
      <c r="K155" s="47" t="n">
        <f aca="false">Inputs!$D$44</f>
        <v>1</v>
      </c>
      <c r="L155" s="47" t="n">
        <f aca="false">Inputs!$D$44</f>
        <v>1</v>
      </c>
    </row>
    <row r="156" customFormat="false" ht="15" hidden="false" customHeight="false" outlineLevel="0" collapsed="false">
      <c r="A156" s="5" t="s">
        <v>390</v>
      </c>
      <c r="C156" s="14" t="n">
        <v>0</v>
      </c>
      <c r="D156" s="14" t="n">
        <f aca="false">D155*($B$148*D153+$B$149*D154)</f>
        <v>26095.7643337472</v>
      </c>
      <c r="E156" s="14" t="n">
        <f aca="false">E155*($B$148*E153+$B$149*E154)</f>
        <v>105551.493606691</v>
      </c>
      <c r="F156" s="14" t="n">
        <f aca="false">F155*($B$148*F153+$B$149*F154)</f>
        <v>223124.732285387</v>
      </c>
      <c r="G156" s="14" t="n">
        <f aca="false">G155*($B$148*G153+$B$149*G154)</f>
        <v>385935.728506155</v>
      </c>
      <c r="H156" s="14" t="n">
        <f aca="false">H155*($B$148*H153+$B$149*H154)</f>
        <v>429476.302102354</v>
      </c>
      <c r="I156" s="14" t="n">
        <f aca="false">I155*($B$148*I153+$B$149*I154)</f>
        <v>473793.261359791</v>
      </c>
      <c r="J156" s="14" t="n">
        <f aca="false">J155*($B$148*J153+$B$149*J154)</f>
        <v>518793.686791424</v>
      </c>
      <c r="K156" s="14" t="n">
        <f aca="false">K155*($B$148*K153+$B$149*K154)</f>
        <v>564390.330597935</v>
      </c>
      <c r="L156" s="14" t="n">
        <f aca="false">L155*($B$148*L153+$B$149*L154)</f>
        <v>610502.706838161</v>
      </c>
    </row>
    <row r="157" customFormat="false" ht="15" hidden="false" customHeight="false" outlineLevel="0" collapsed="false">
      <c r="A157" s="5" t="s">
        <v>391</v>
      </c>
      <c r="D157" s="11" t="n">
        <f aca="false">D156*$B$145/1000000</f>
        <v>0.393183379797291</v>
      </c>
      <c r="E157" s="11" t="n">
        <f aca="false">E156*$B$145/1000000</f>
        <v>1.59033828126894</v>
      </c>
      <c r="F157" s="11" t="n">
        <f aca="false">F156*$B$145/1000000</f>
        <v>3.36180750386693</v>
      </c>
      <c r="G157" s="11" t="n">
        <f aca="false">G156*$B$145/1000000</f>
        <v>5.81487141659782</v>
      </c>
      <c r="H157" s="11" t="n">
        <f aca="false">H156*$B$145/1000000</f>
        <v>6.47089473386573</v>
      </c>
      <c r="I157" s="11" t="n">
        <f aca="false">I156*$B$145/1000000</f>
        <v>7.13861580922217</v>
      </c>
      <c r="J157" s="11" t="n">
        <f aca="false">J156*$B$145/1000000</f>
        <v>7.816634630102</v>
      </c>
      <c r="K157" s="11" t="n">
        <f aca="false">K156*$B$145/1000000</f>
        <v>8.50363663893272</v>
      </c>
      <c r="L157" s="11" t="n">
        <f aca="false">L156*$B$145/1000000</f>
        <v>9.19840915866956</v>
      </c>
    </row>
    <row r="158" customFormat="false" ht="15" hidden="false" customHeight="false" outlineLevel="0" collapsed="false">
      <c r="A158" s="5" t="s">
        <v>392</v>
      </c>
      <c r="D158" s="11" t="n">
        <f aca="false">Inputs!$D$31*MAX(0,D156-C156)/1000000</f>
        <v>0.0782872930012417</v>
      </c>
      <c r="E158" s="11" t="n">
        <f aca="false">Inputs!$D$31*MAX(0,E156-D156)/1000000</f>
        <v>0.238367187818831</v>
      </c>
      <c r="F158" s="11" t="n">
        <f aca="false">Inputs!$D$31*MAX(0,F156-E156)/1000000</f>
        <v>0.352719716036089</v>
      </c>
      <c r="G158" s="11" t="n">
        <f aca="false">Inputs!$D$31*MAX(0,G156-F156)/1000000</f>
        <v>0.488432988662302</v>
      </c>
      <c r="H158" s="11" t="n">
        <f aca="false">Inputs!$D$31*MAX(0,H156-G156)/1000000</f>
        <v>0.130621720788598</v>
      </c>
      <c r="I158" s="11" t="n">
        <f aca="false">Inputs!$D$31*MAX(0,I156-H156)/1000000</f>
        <v>0.13295087777231</v>
      </c>
      <c r="J158" s="11" t="n">
        <f aca="false">Inputs!$D$31*MAX(0,J156-I156)/1000000</f>
        <v>0.135001276294899</v>
      </c>
      <c r="K158" s="11" t="n">
        <f aca="false">Inputs!$D$31*MAX(0,K156-J156)/1000000</f>
        <v>0.136789931419533</v>
      </c>
      <c r="L158" s="11" t="n">
        <f aca="false">Inputs!$D$31*MAX(0,L156-K156)/1000000</f>
        <v>0.138337128720678</v>
      </c>
    </row>
    <row r="159" customFormat="false" ht="15" hidden="false" customHeight="false" outlineLevel="0" collapsed="false">
      <c r="A159" s="5" t="s">
        <v>393</v>
      </c>
      <c r="D159" s="11" t="n">
        <f aca="false">Inputs!$D$30*$B$146</f>
        <v>11.5814983078396</v>
      </c>
      <c r="E159" s="11" t="n">
        <f aca="false">Inputs!$D$30*$B$146</f>
        <v>11.5814983078396</v>
      </c>
      <c r="F159" s="11" t="n">
        <f aca="false">Inputs!$D$30*$B$146</f>
        <v>11.5814983078396</v>
      </c>
      <c r="G159" s="11" t="n">
        <f aca="false">Inputs!$D$30*$B$146</f>
        <v>11.5814983078396</v>
      </c>
      <c r="H159" s="11" t="n">
        <f aca="false">Inputs!$D$30*$B$146</f>
        <v>11.5814983078396</v>
      </c>
      <c r="I159" s="11" t="n">
        <f aca="false">Inputs!$D$30*$B$146</f>
        <v>11.5814983078396</v>
      </c>
      <c r="J159" s="11" t="n">
        <f aca="false">Inputs!$D$30*$B$146</f>
        <v>11.5814983078396</v>
      </c>
      <c r="K159" s="11" t="n">
        <f aca="false">Inputs!$D$30*$B$146</f>
        <v>11.5814983078396</v>
      </c>
      <c r="L159" s="11" t="n">
        <f aca="false">Inputs!$D$30*$B$146</f>
        <v>11.5814983078396</v>
      </c>
    </row>
    <row r="160" customFormat="false" ht="15" hidden="false" customHeight="false" outlineLevel="0" collapsed="false">
      <c r="A160" s="5" t="s">
        <v>394</v>
      </c>
      <c r="D160" s="11" t="n">
        <f aca="false">D157*Inputs!$D$29-D158</f>
        <v>0.118304396897404</v>
      </c>
      <c r="E160" s="11" t="n">
        <f aca="false">E157*Inputs!$D$29-E158</f>
        <v>0.55680195281564</v>
      </c>
      <c r="F160" s="11" t="n">
        <f aca="false">F157*Inputs!$D$29-F158</f>
        <v>1.32818403589737</v>
      </c>
      <c r="G160" s="11" t="n">
        <f aca="false">G157*Inputs!$D$29-G158</f>
        <v>2.41900271963661</v>
      </c>
      <c r="H160" s="11" t="n">
        <f aca="false">H157*Inputs!$D$29-H158</f>
        <v>3.10482564614427</v>
      </c>
      <c r="I160" s="11" t="n">
        <f aca="false">I157*Inputs!$D$29-I158</f>
        <v>3.43635702683877</v>
      </c>
      <c r="J160" s="11" t="n">
        <f aca="false">J157*Inputs!$D$29-J158</f>
        <v>3.7733160387561</v>
      </c>
      <c r="K160" s="11" t="n">
        <f aca="false">K157*Inputs!$D$29-K158</f>
        <v>4.11502838804683</v>
      </c>
      <c r="L160" s="11" t="n">
        <f aca="false">L157*Inputs!$D$29-L158</f>
        <v>4.4608674506141</v>
      </c>
    </row>
    <row r="161" customFormat="false" ht="15" hidden="false" customHeight="false" outlineLevel="0" collapsed="false">
      <c r="A161" s="5" t="s">
        <v>395</v>
      </c>
      <c r="D161" s="11" t="n">
        <f aca="false">D160-D159</f>
        <v>-11.4631939109422</v>
      </c>
      <c r="E161" s="11" t="n">
        <f aca="false">E160-E159</f>
        <v>-11.0246963550239</v>
      </c>
      <c r="F161" s="11" t="n">
        <f aca="false">F160-F159</f>
        <v>-10.2533142719422</v>
      </c>
      <c r="G161" s="11" t="n">
        <f aca="false">G160-G159</f>
        <v>-9.16249558820295</v>
      </c>
      <c r="H161" s="11" t="n">
        <f aca="false">H160-H159</f>
        <v>-8.47667266169529</v>
      </c>
      <c r="I161" s="11" t="n">
        <f aca="false">I160-I159</f>
        <v>-8.14514128100079</v>
      </c>
      <c r="J161" s="11" t="n">
        <f aca="false">J160-J159</f>
        <v>-7.80818226908346</v>
      </c>
      <c r="K161" s="11" t="n">
        <f aca="false">K160-K159</f>
        <v>-7.46646991979273</v>
      </c>
      <c r="L161" s="11" t="n">
        <f aca="false">L160-L159</f>
        <v>-7.12063085722546</v>
      </c>
    </row>
    <row r="162" customFormat="false" ht="15" hidden="false" customHeight="false" outlineLevel="0" collapsed="false">
      <c r="A162" s="5" t="s">
        <v>396</v>
      </c>
      <c r="D162" s="48" t="n">
        <f aca="false">1/(1+$B$147)^(D150-2026)</f>
        <v>0.88862037976409</v>
      </c>
      <c r="E162" s="48" t="n">
        <f aca="false">1/(1+$B$147)^(E150-2026)</f>
        <v>0.789646179332075</v>
      </c>
      <c r="F162" s="48" t="n">
        <f aca="false">1/(1+$B$147)^(F150-2026)</f>
        <v>0.701695687757331</v>
      </c>
      <c r="G162" s="48" t="n">
        <f aca="false">1/(1+$B$147)^(G150-2026)</f>
        <v>0.623541088533744</v>
      </c>
      <c r="H162" s="48" t="n">
        <f aca="false">1/(1+$B$147)^(H150-2026)</f>
        <v>0.554091318891369</v>
      </c>
      <c r="I162" s="48" t="n">
        <f aca="false">1/(1+$B$147)^(I150-2026)</f>
        <v>0.492376838217234</v>
      </c>
      <c r="J162" s="48" t="n">
        <f aca="false">1/(1+$B$147)^(J150-2026)</f>
        <v>0.43753609296364</v>
      </c>
      <c r="K162" s="48" t="n">
        <f aca="false">1/(1+$B$147)^(K150-2026)</f>
        <v>0.388803489089846</v>
      </c>
      <c r="L162" s="48" t="n">
        <f aca="false">1/(1+$B$147)^(L150-2026)</f>
        <v>0.345498704128622</v>
      </c>
    </row>
    <row r="163" customFormat="false" ht="15" hidden="false" customHeight="false" outlineLevel="0" collapsed="false">
      <c r="A163" s="5" t="s">
        <v>397</v>
      </c>
      <c r="D163" s="11" t="n">
        <f aca="false">D161*D162</f>
        <v>-10.1864277264508</v>
      </c>
      <c r="E163" s="11" t="n">
        <f aca="false">E161*E162</f>
        <v>-8.7056093550409</v>
      </c>
      <c r="F163" s="11" t="n">
        <f aca="false">F161*F162</f>
        <v>-7.19470640984253</v>
      </c>
      <c r="G163" s="11" t="n">
        <f aca="false">G161*G162</f>
        <v>-5.71319247275369</v>
      </c>
      <c r="H163" s="11" t="n">
        <f aca="false">H161*H162</f>
        <v>-4.69685073492916</v>
      </c>
      <c r="I163" s="11" t="n">
        <f aca="false">I161*I162</f>
        <v>-4.01047891077184</v>
      </c>
      <c r="J163" s="11" t="n">
        <f aca="false">J161*J162</f>
        <v>-3.41636156316275</v>
      </c>
      <c r="K163" s="11" t="n">
        <f aca="false">K161*K162</f>
        <v>-2.9029895559998</v>
      </c>
      <c r="L163" s="11" t="n">
        <f aca="false">L161*L162</f>
        <v>-2.46016873374968</v>
      </c>
    </row>
    <row r="164" customFormat="false" ht="15" hidden="false" customHeight="false" outlineLevel="0" collapsed="false">
      <c r="A164" s="5" t="s">
        <v>398</v>
      </c>
      <c r="C164" s="11" t="n">
        <f aca="false">-B167</f>
        <v>-19.3024971797326</v>
      </c>
      <c r="D164" s="11" t="n">
        <f aca="false">C164+D161</f>
        <v>-30.7656910906748</v>
      </c>
      <c r="E164" s="11" t="n">
        <f aca="false">D164+E161</f>
        <v>-41.7903874456987</v>
      </c>
      <c r="F164" s="11" t="n">
        <f aca="false">E164+F161</f>
        <v>-52.0437017176409</v>
      </c>
      <c r="G164" s="11" t="n">
        <f aca="false">F164+G161</f>
        <v>-61.2061973058438</v>
      </c>
      <c r="H164" s="11" t="n">
        <f aca="false">G164+H161</f>
        <v>-69.6828699675391</v>
      </c>
      <c r="I164" s="11" t="n">
        <f aca="false">H164+I161</f>
        <v>-77.8280112485399</v>
      </c>
      <c r="J164" s="11" t="n">
        <f aca="false">I164+J161</f>
        <v>-85.6361935176234</v>
      </c>
      <c r="K164" s="11" t="n">
        <f aca="false">J164+K161</f>
        <v>-93.1026634374161</v>
      </c>
      <c r="L164" s="11" t="n">
        <f aca="false">K164+L161</f>
        <v>-100.223294294642</v>
      </c>
    </row>
    <row r="165" customFormat="false" ht="15" hidden="false" customHeight="false" outlineLevel="0" collapsed="false">
      <c r="A165" s="5" t="s">
        <v>399</v>
      </c>
      <c r="D165" s="16" t="str">
        <f aca="false">IF(D164&gt;=0,D150,"")</f>
        <v/>
      </c>
      <c r="E165" s="16" t="str">
        <f aca="false">IF(E164&gt;=0,E150,"")</f>
        <v/>
      </c>
      <c r="F165" s="16" t="str">
        <f aca="false">IF(F164&gt;=0,F150,"")</f>
        <v/>
      </c>
      <c r="G165" s="16" t="str">
        <f aca="false">IF(G164&gt;=0,G150,"")</f>
        <v/>
      </c>
      <c r="H165" s="16" t="str">
        <f aca="false">IF(H164&gt;=0,H150,"")</f>
        <v/>
      </c>
      <c r="I165" s="16" t="str">
        <f aca="false">IF(I164&gt;=0,I150,"")</f>
        <v/>
      </c>
      <c r="J165" s="16" t="str">
        <f aca="false">IF(J164&gt;=0,J150,"")</f>
        <v/>
      </c>
      <c r="K165" s="16" t="str">
        <f aca="false">IF(K164&gt;=0,K150,"")</f>
        <v/>
      </c>
      <c r="L165" s="16" t="str">
        <f aca="false">IF(L164&gt;=0,L150,"")</f>
        <v/>
      </c>
    </row>
    <row r="167" customFormat="false" ht="15" hidden="false" customHeight="false" outlineLevel="0" collapsed="false">
      <c r="A167" s="5" t="s">
        <v>400</v>
      </c>
      <c r="B167" s="11" t="n">
        <f aca="false">Inputs!$D$32*$B$146</f>
        <v>19.3024971797326</v>
      </c>
    </row>
    <row r="168" customFormat="false" ht="15" hidden="false" customHeight="false" outlineLevel="0" collapsed="false">
      <c r="A168" s="7" t="s">
        <v>401</v>
      </c>
      <c r="B168" s="12" t="n">
        <f aca="false">-B167+SUM(D163:L163)+Inputs!$D$33*L161*L162</f>
        <v>-80.8901263111822</v>
      </c>
    </row>
    <row r="169" customFormat="false" ht="15" hidden="false" customHeight="false" outlineLevel="0" collapsed="false">
      <c r="A169" s="5" t="s">
        <v>402</v>
      </c>
      <c r="B169" s="11" t="n">
        <f aca="false">-MIN(C164:L164)</f>
        <v>100.223294294642</v>
      </c>
    </row>
    <row r="170" customFormat="false" ht="15" hidden="false" customHeight="false" outlineLevel="0" collapsed="false">
      <c r="A170" s="5" t="s">
        <v>403</v>
      </c>
      <c r="B170" s="16" t="str">
        <f aca="false">IF(COUNT(C165:L165)=0,"none",MIN(C165:L165))</f>
        <v>none</v>
      </c>
    </row>
    <row r="171" customFormat="false" ht="15" hidden="false" customHeight="false" outlineLevel="0" collapsed="false">
      <c r="A171" s="5" t="s">
        <v>404</v>
      </c>
      <c r="B171" s="11" t="n">
        <f aca="false">SUMPRODUCT(D157:L157,D162:L162)+Inputs!$D$33*L157*L162</f>
        <v>40.4848621096715</v>
      </c>
    </row>
    <row r="172" customFormat="false" ht="15" hidden="false" customHeight="false" outlineLevel="0" collapsed="false">
      <c r="A172" s="5" t="s">
        <v>405</v>
      </c>
      <c r="B172" s="11" t="n">
        <f aca="false">SUMPRODUCT(D158:L158,D162:L162)+Inputs!$D$33*L158*L162</f>
        <v>1.34671578453455</v>
      </c>
    </row>
    <row r="173" customFormat="false" ht="15" hidden="false" customHeight="false" outlineLevel="0" collapsed="false">
      <c r="A173" s="5" t="s">
        <v>406</v>
      </c>
      <c r="B173" s="11" t="n">
        <f aca="false">B167+Inputs!$D$30*$B$146*(SUM(D162:L162)+Inputs!$D$33*L162)</f>
        <v>99.7858415814834</v>
      </c>
    </row>
    <row r="174" customFormat="false" ht="15" hidden="false" customHeight="false" outlineLevel="0" collapsed="false">
      <c r="A174" s="5" t="s">
        <v>407</v>
      </c>
      <c r="B174" s="11" t="n">
        <f aca="false">Inputs!$D$29*B171-B172-B173</f>
        <v>-80.8901263111822</v>
      </c>
    </row>
    <row r="175" customFormat="false" ht="15" hidden="false" customHeight="false" outlineLevel="0" collapsed="false">
      <c r="A175" s="5" t="s">
        <v>408</v>
      </c>
      <c r="B175" s="49" t="n">
        <f aca="false">IF(Inputs!$D$29*B171-B172&gt;0,B173/(Inputs!$D$29*B171-B172),"n/a")</f>
        <v>5.28087135914451</v>
      </c>
    </row>
    <row r="176" customFormat="false" ht="15" hidden="false" customHeight="false" outlineLevel="0" collapsed="false">
      <c r="A176" s="5" t="s">
        <v>409</v>
      </c>
      <c r="B176" s="50" t="n">
        <f aca="false">ABS(B174-B168)</f>
        <v>0</v>
      </c>
    </row>
    <row r="178" customFormat="false" ht="15" hidden="false" customHeight="false" outlineLevel="0" collapsed="false">
      <c r="A178" s="3" t="s">
        <v>413</v>
      </c>
      <c r="B178" s="42" t="n">
        <f aca="false">MATCH(2,Scorecard!$AS$6:$AS$39,0)</f>
        <v>9</v>
      </c>
      <c r="C178" s="3"/>
      <c r="D178" s="3"/>
      <c r="E178" s="3"/>
      <c r="F178" s="3"/>
      <c r="G178" s="3"/>
      <c r="H178" s="3"/>
      <c r="I178" s="3"/>
      <c r="J178" s="3"/>
      <c r="K178" s="3"/>
      <c r="L178" s="3"/>
    </row>
    <row r="179" customFormat="false" ht="15" hidden="false" customHeight="false" outlineLevel="0" collapsed="false">
      <c r="A179" s="5" t="s">
        <v>36</v>
      </c>
      <c r="B179" s="34" t="str">
        <f aca="false">INDEX(Scorecard!$A$6:$A$39,$B$178)</f>
        <v>Cote d'Ivoire</v>
      </c>
      <c r="C179" s="34" t="str">
        <f aca="false">INDEX(Scorecard!$B$6:$B$39,$B$178)</f>
        <v>CIV</v>
      </c>
    </row>
    <row r="180" customFormat="false" ht="15" hidden="false" customHeight="false" outlineLevel="0" collapsed="false">
      <c r="A180" s="5" t="s">
        <v>191</v>
      </c>
      <c r="B180" s="40" t="n">
        <f aca="false">INDEX(Data!$D$6:$D$39,$B$178)</f>
        <v>18301587</v>
      </c>
    </row>
    <row r="181" customFormat="false" ht="15" hidden="false" customHeight="false" outlineLevel="0" collapsed="false">
      <c r="A181" s="5" t="s">
        <v>203</v>
      </c>
      <c r="B181" s="39" t="n">
        <f aca="false">INDEX(Data!$P$6:$P$39,$B$178)</f>
        <v>2.43618201263834</v>
      </c>
    </row>
    <row r="182" customFormat="false" ht="15" hidden="false" customHeight="false" outlineLevel="0" collapsed="false">
      <c r="A182" s="5" t="s">
        <v>379</v>
      </c>
      <c r="B182" s="36" t="n">
        <f aca="false">INDEX(Data!$E$6:$E$39,$B$178)</f>
        <v>0.533817787682129</v>
      </c>
    </row>
    <row r="183" customFormat="false" ht="15" hidden="false" customHeight="false" outlineLevel="0" collapsed="false">
      <c r="A183" s="5" t="s">
        <v>290</v>
      </c>
      <c r="B183" s="39" t="n">
        <f aca="false">INDEX(Forecast!$E$6:$E$39,$B$178)</f>
        <v>0.135477987904392</v>
      </c>
    </row>
    <row r="184" customFormat="false" ht="15" hidden="false" customHeight="false" outlineLevel="0" collapsed="false">
      <c r="A184" s="5" t="s">
        <v>380</v>
      </c>
      <c r="B184" s="43" t="n">
        <f aca="false">INDEX(Forecast!$F$6:$F$39,$B$178)*Inputs!$D$16</f>
        <v>0.17872706143761</v>
      </c>
    </row>
    <row r="185" customFormat="false" ht="15" hidden="false" customHeight="false" outlineLevel="0" collapsed="false">
      <c r="A185" s="5" t="s">
        <v>381</v>
      </c>
      <c r="B185" s="44" t="n">
        <f aca="false">INDEX(Pools!$I$6:$I$39,$B$178)</f>
        <v>25.1115707750334</v>
      </c>
    </row>
    <row r="186" customFormat="false" ht="15" hidden="false" customHeight="false" outlineLevel="0" collapsed="false">
      <c r="A186" s="5" t="s">
        <v>307</v>
      </c>
      <c r="B186" s="39" t="n">
        <f aca="false">INDEX(Pools!$G$6:$G$39,$B$178)</f>
        <v>0.96512485898663</v>
      </c>
    </row>
    <row r="187" customFormat="false" ht="15" hidden="false" customHeight="false" outlineLevel="0" collapsed="false">
      <c r="A187" s="5" t="s">
        <v>46</v>
      </c>
      <c r="B187" s="36" t="n">
        <f aca="false">INDEX(Scorecard!$AT$6:$AT$39,$B$178)</f>
        <v>0.125339934546042</v>
      </c>
    </row>
    <row r="188" customFormat="false" ht="15" hidden="false" customHeight="false" outlineLevel="0" collapsed="false">
      <c r="A188" s="5" t="s">
        <v>382</v>
      </c>
      <c r="B188" s="36" t="n">
        <f aca="false">Inputs!$D$19</f>
        <v>0.03</v>
      </c>
    </row>
    <row r="189" customFormat="false" ht="15" hidden="false" customHeight="false" outlineLevel="0" collapsed="false">
      <c r="A189" s="5" t="s">
        <v>383</v>
      </c>
      <c r="B189" s="36" t="n">
        <f aca="false">Inputs!$D$18</f>
        <v>0.15</v>
      </c>
    </row>
    <row r="190" customFormat="false" ht="15" hidden="false" customHeight="false" outlineLevel="0" collapsed="false">
      <c r="A190" s="45" t="s">
        <v>384</v>
      </c>
      <c r="B190" s="45"/>
      <c r="C190" s="46" t="n">
        <v>2026</v>
      </c>
      <c r="D190" s="46" t="n">
        <v>2027</v>
      </c>
      <c r="E190" s="46" t="n">
        <v>2028</v>
      </c>
      <c r="F190" s="46" t="n">
        <v>2029</v>
      </c>
      <c r="G190" s="46" t="n">
        <v>2030</v>
      </c>
      <c r="H190" s="46" t="n">
        <v>2031</v>
      </c>
      <c r="I190" s="46" t="n">
        <v>2032</v>
      </c>
      <c r="J190" s="46" t="n">
        <v>2033</v>
      </c>
      <c r="K190" s="46" t="n">
        <v>2034</v>
      </c>
      <c r="L190" s="46" t="n">
        <v>2035</v>
      </c>
    </row>
    <row r="191" customFormat="false" ht="15" hidden="false" customHeight="false" outlineLevel="0" collapsed="false">
      <c r="A191" s="5" t="s">
        <v>385</v>
      </c>
      <c r="D191" s="14" t="n">
        <f aca="false">$B$180*(1+$B$181/100)^(D190-2024)</f>
        <v>19672017.4098998</v>
      </c>
      <c r="E191" s="14" t="n">
        <f aca="false">$B$180*(1+$B$181/100)^(E190-2024)</f>
        <v>20151263.5595629</v>
      </c>
      <c r="F191" s="14" t="n">
        <f aca="false">$B$180*(1+$B$181/100)^(F190-2024)</f>
        <v>20642185.0177203</v>
      </c>
      <c r="G191" s="14" t="n">
        <f aca="false">$B$180*(1+$B$181/100)^(G190-2024)</f>
        <v>21145066.2161375</v>
      </c>
      <c r="H191" s="14" t="n">
        <f aca="false">$B$180*(1+$B$181/100)^(H190-2024)</f>
        <v>21660198.5158555</v>
      </c>
      <c r="I191" s="14" t="n">
        <f aca="false">$B$180*(1+$B$181/100)^(I190-2024)</f>
        <v>22187880.3760006</v>
      </c>
      <c r="J191" s="14" t="n">
        <f aca="false">$B$180*(1+$B$181/100)^(J190-2024)</f>
        <v>22728417.5267064</v>
      </c>
      <c r="K191" s="14" t="n">
        <f aca="false">$B$180*(1+$B$181/100)^(K190-2024)</f>
        <v>23282123.1462494</v>
      </c>
      <c r="L191" s="14" t="n">
        <f aca="false">$B$180*(1+$B$181/100)^(L190-2024)</f>
        <v>23849318.0424986</v>
      </c>
    </row>
    <row r="192" customFormat="false" ht="15" hidden="false" customHeight="false" outlineLevel="0" collapsed="false">
      <c r="A192" s="5" t="s">
        <v>386</v>
      </c>
      <c r="D192" s="13" t="n">
        <f aca="false">MIN(1/(1+EXP(-($B$183+$B$184*(D190-2024)))),MAX(Inputs!$D$9,$B$182))</f>
        <v>0.661874576008992</v>
      </c>
      <c r="E192" s="13" t="n">
        <f aca="false">MIN(1/(1+EXP(-($B$183+$B$184*(E190-2024)))),MAX(Inputs!$D$9,$B$182))</f>
        <v>0.70064815752055</v>
      </c>
      <c r="F192" s="13" t="n">
        <f aca="false">MIN(1/(1+EXP(-($B$183+$B$184*(F190-2024)))),MAX(Inputs!$D$9,$B$182))</f>
        <v>0.736743953482496</v>
      </c>
      <c r="G192" s="13" t="n">
        <f aca="false">MIN(1/(1+EXP(-($B$183+$B$184*(G190-2024)))),MAX(Inputs!$D$9,$B$182))</f>
        <v>0.769916601971442</v>
      </c>
      <c r="H192" s="13" t="n">
        <f aca="false">MIN(1/(1+EXP(-($B$183+$B$184*(H190-2024)))),MAX(Inputs!$D$9,$B$182))</f>
        <v>0.800043685516783</v>
      </c>
      <c r="I192" s="13" t="n">
        <f aca="false">MIN(1/(1+EXP(-($B$183+$B$184*(I190-2024)))),MAX(Inputs!$D$9,$B$182))</f>
        <v>0.827111764095018</v>
      </c>
      <c r="J192" s="13" t="n">
        <f aca="false">MIN(1/(1+EXP(-($B$183+$B$184*(J190-2024)))),MAX(Inputs!$D$9,$B$182))</f>
        <v>0.851197155815843</v>
      </c>
      <c r="K192" s="13" t="n">
        <f aca="false">MIN(1/(1+EXP(-($B$183+$B$184*(K190-2024)))),MAX(Inputs!$D$9,$B$182))</f>
        <v>0.872444625145093</v>
      </c>
      <c r="L192" s="13" t="n">
        <f aca="false">MIN(1/(1+EXP(-($B$183+$B$184*(L190-2024)))),MAX(Inputs!$D$9,$B$182))</f>
        <v>0.891046522791061</v>
      </c>
    </row>
    <row r="193" customFormat="false" ht="15" hidden="false" customHeight="false" outlineLevel="0" collapsed="false">
      <c r="A193" s="5" t="s">
        <v>387</v>
      </c>
      <c r="D193" s="14" t="n">
        <f aca="false">D191*$B$182</f>
        <v>10501272.812997</v>
      </c>
      <c r="E193" s="14" t="n">
        <f aca="false">E191*$B$182</f>
        <v>10757102.9323654</v>
      </c>
      <c r="F193" s="14" t="n">
        <f aca="false">F191*$B$182</f>
        <v>11019165.5390846</v>
      </c>
      <c r="G193" s="14" t="n">
        <f aca="false">G191*$B$182</f>
        <v>11287612.4678907</v>
      </c>
      <c r="H193" s="14" t="n">
        <f aca="false">H191*$B$182</f>
        <v>11562599.2524897</v>
      </c>
      <c r="I193" s="14" t="n">
        <f aca="false">I191*$B$182</f>
        <v>11844285.2156723</v>
      </c>
      <c r="J193" s="14" t="n">
        <f aca="false">J191*$B$182</f>
        <v>12132833.5616221</v>
      </c>
      <c r="K193" s="14" t="n">
        <f aca="false">K191*$B$182</f>
        <v>12428411.4704737</v>
      </c>
      <c r="L193" s="14" t="n">
        <f aca="false">L191*$B$182</f>
        <v>12731190.1951741</v>
      </c>
    </row>
    <row r="194" customFormat="false" ht="15" hidden="false" customHeight="false" outlineLevel="0" collapsed="false">
      <c r="A194" s="5" t="s">
        <v>388</v>
      </c>
      <c r="D194" s="14" t="n">
        <f aca="false">MAX(0,D191*D192-D193)</f>
        <v>2519135.36942191</v>
      </c>
      <c r="E194" s="14" t="n">
        <f aca="false">MAX(0,E191*E192-E193)</f>
        <v>3361842.75235337</v>
      </c>
      <c r="F194" s="14" t="n">
        <f aca="false">MAX(0,F191*F192-F193)</f>
        <v>4188839.45938776</v>
      </c>
      <c r="G194" s="14" t="n">
        <f aca="false">MAX(0,G191*G192-G193)</f>
        <v>4992325.06169907</v>
      </c>
      <c r="H194" s="14" t="n">
        <f aca="false">MAX(0,H191*H192-H193)</f>
        <v>5766505.79716048</v>
      </c>
      <c r="I194" s="14" t="n">
        <f aca="false">MAX(0,I191*I192-I193)</f>
        <v>6507571.66365072</v>
      </c>
      <c r="J194" s="14" t="n">
        <f aca="false">MAX(0,J191*J192-J193)</f>
        <v>7213530.79330532</v>
      </c>
      <c r="K194" s="14" t="n">
        <f aca="false">MAX(0,K191*K192-K193)</f>
        <v>7883951.7304377</v>
      </c>
      <c r="L194" s="14" t="n">
        <f aca="false">MAX(0,L191*L192-L193)</f>
        <v>8519661.71753239</v>
      </c>
    </row>
    <row r="195" customFormat="false" ht="15" hidden="false" customHeight="false" outlineLevel="0" collapsed="false">
      <c r="A195" s="5" t="s">
        <v>389</v>
      </c>
      <c r="D195" s="47" t="n">
        <f aca="false">Inputs!$D$41</f>
        <v>0.1</v>
      </c>
      <c r="E195" s="47" t="n">
        <f aca="false">Inputs!$D$42</f>
        <v>0.35</v>
      </c>
      <c r="F195" s="47" t="n">
        <f aca="false">Inputs!$D$43</f>
        <v>0.65</v>
      </c>
      <c r="G195" s="47" t="n">
        <f aca="false">Inputs!$D$44</f>
        <v>1</v>
      </c>
      <c r="H195" s="47" t="n">
        <f aca="false">Inputs!$D$44</f>
        <v>1</v>
      </c>
      <c r="I195" s="47" t="n">
        <f aca="false">Inputs!$D$44</f>
        <v>1</v>
      </c>
      <c r="J195" s="47" t="n">
        <f aca="false">Inputs!$D$44</f>
        <v>1</v>
      </c>
      <c r="K195" s="47" t="n">
        <f aca="false">Inputs!$D$44</f>
        <v>1</v>
      </c>
      <c r="L195" s="47" t="n">
        <f aca="false">Inputs!$D$44</f>
        <v>1</v>
      </c>
    </row>
    <row r="196" customFormat="false" ht="15" hidden="false" customHeight="false" outlineLevel="0" collapsed="false">
      <c r="A196" s="5" t="s">
        <v>390</v>
      </c>
      <c r="C196" s="14" t="n">
        <v>0</v>
      </c>
      <c r="D196" s="14" t="n">
        <f aca="false">D195*($B$188*D193+$B$189*D194)</f>
        <v>69290.8489803198</v>
      </c>
      <c r="E196" s="14" t="n">
        <f aca="false">E195*($B$188*E193+$B$189*E194)</f>
        <v>289446.325288388</v>
      </c>
      <c r="F196" s="14" t="n">
        <f aca="false">F195*($B$188*F193+$B$189*F194)</f>
        <v>623285.575302457</v>
      </c>
      <c r="G196" s="14" t="n">
        <f aca="false">G195*($B$188*G193+$B$189*G194)</f>
        <v>1087477.13329158</v>
      </c>
      <c r="H196" s="14" t="n">
        <f aca="false">H195*($B$188*H193+$B$189*H194)</f>
        <v>1211853.84714876</v>
      </c>
      <c r="I196" s="14" t="n">
        <f aca="false">I195*($B$188*I193+$B$189*I194)</f>
        <v>1331464.30601778</v>
      </c>
      <c r="J196" s="14" t="n">
        <f aca="false">J195*($B$188*J193+$B$189*J194)</f>
        <v>1446014.62584446</v>
      </c>
      <c r="K196" s="14" t="n">
        <f aca="false">K195*($B$188*K193+$B$189*K194)</f>
        <v>1555445.10367987</v>
      </c>
      <c r="L196" s="14" t="n">
        <f aca="false">L195*($B$188*L193+$B$189*L194)</f>
        <v>1659884.96348508</v>
      </c>
    </row>
    <row r="197" customFormat="false" ht="15" hidden="false" customHeight="false" outlineLevel="0" collapsed="false">
      <c r="A197" s="5" t="s">
        <v>391</v>
      </c>
      <c r="D197" s="11" t="n">
        <f aca="false">D196*$B$185/1000000</f>
        <v>1.74000205823145</v>
      </c>
      <c r="E197" s="11" t="n">
        <f aca="false">E196*$B$185/1000000</f>
        <v>7.2684518830527</v>
      </c>
      <c r="F197" s="11" t="n">
        <f aca="false">F196*$B$185/1000000</f>
        <v>15.6516798372651</v>
      </c>
      <c r="G197" s="11" t="n">
        <f aca="false">G196*$B$185/1000000</f>
        <v>27.308258998882</v>
      </c>
      <c r="H197" s="11" t="n">
        <f aca="false">H196*$B$185/1000000</f>
        <v>30.4315536516727</v>
      </c>
      <c r="I197" s="11" t="n">
        <f aca="false">I196*$B$185/1000000</f>
        <v>33.4351601549962</v>
      </c>
      <c r="J197" s="11" t="n">
        <f aca="false">J196*$B$185/1000000</f>
        <v>36.3116986186266</v>
      </c>
      <c r="K197" s="11" t="n">
        <f aca="false">K196*$B$185/1000000</f>
        <v>39.0596698077361</v>
      </c>
      <c r="L197" s="11" t="n">
        <f aca="false">L196*$B$185/1000000</f>
        <v>41.6823187389693</v>
      </c>
    </row>
    <row r="198" customFormat="false" ht="15" hidden="false" customHeight="false" outlineLevel="0" collapsed="false">
      <c r="A198" s="5" t="s">
        <v>392</v>
      </c>
      <c r="D198" s="11" t="n">
        <f aca="false">Inputs!$D$31*MAX(0,D196-C196)/1000000</f>
        <v>0.20787254694096</v>
      </c>
      <c r="E198" s="11" t="n">
        <f aca="false">Inputs!$D$31*MAX(0,E196-D196)/1000000</f>
        <v>0.660466428924205</v>
      </c>
      <c r="F198" s="11" t="n">
        <f aca="false">Inputs!$D$31*MAX(0,F196-E196)/1000000</f>
        <v>1.00151775004221</v>
      </c>
      <c r="G198" s="11" t="n">
        <f aca="false">Inputs!$D$31*MAX(0,G196-F196)/1000000</f>
        <v>1.39257467396737</v>
      </c>
      <c r="H198" s="11" t="n">
        <f aca="false">Inputs!$D$31*MAX(0,H196-G196)/1000000</f>
        <v>0.373130141571549</v>
      </c>
      <c r="I198" s="11" t="n">
        <f aca="false">Inputs!$D$31*MAX(0,I196-H196)/1000000</f>
        <v>0.358831376607043</v>
      </c>
      <c r="J198" s="11" t="n">
        <f aca="false">Inputs!$D$31*MAX(0,J196-I196)/1000000</f>
        <v>0.343650959480052</v>
      </c>
      <c r="K198" s="11" t="n">
        <f aca="false">Inputs!$D$31*MAX(0,K196-J196)/1000000</f>
        <v>0.328291433506214</v>
      </c>
      <c r="L198" s="11" t="n">
        <f aca="false">Inputs!$D$31*MAX(0,L196-K196)/1000000</f>
        <v>0.313319579415643</v>
      </c>
    </row>
    <row r="199" customFormat="false" ht="15" hidden="false" customHeight="false" outlineLevel="0" collapsed="false">
      <c r="A199" s="5" t="s">
        <v>393</v>
      </c>
      <c r="D199" s="11" t="n">
        <f aca="false">Inputs!$D$30*$B$186</f>
        <v>11.5814983078396</v>
      </c>
      <c r="E199" s="11" t="n">
        <f aca="false">Inputs!$D$30*$B$186</f>
        <v>11.5814983078396</v>
      </c>
      <c r="F199" s="11" t="n">
        <f aca="false">Inputs!$D$30*$B$186</f>
        <v>11.5814983078396</v>
      </c>
      <c r="G199" s="11" t="n">
        <f aca="false">Inputs!$D$30*$B$186</f>
        <v>11.5814983078396</v>
      </c>
      <c r="H199" s="11" t="n">
        <f aca="false">Inputs!$D$30*$B$186</f>
        <v>11.5814983078396</v>
      </c>
      <c r="I199" s="11" t="n">
        <f aca="false">Inputs!$D$30*$B$186</f>
        <v>11.5814983078396</v>
      </c>
      <c r="J199" s="11" t="n">
        <f aca="false">Inputs!$D$30*$B$186</f>
        <v>11.5814983078396</v>
      </c>
      <c r="K199" s="11" t="n">
        <f aca="false">Inputs!$D$30*$B$186</f>
        <v>11.5814983078396</v>
      </c>
      <c r="L199" s="11" t="n">
        <f aca="false">Inputs!$D$30*$B$186</f>
        <v>11.5814983078396</v>
      </c>
    </row>
    <row r="200" customFormat="false" ht="15" hidden="false" customHeight="false" outlineLevel="0" collapsed="false">
      <c r="A200" s="5" t="s">
        <v>394</v>
      </c>
      <c r="D200" s="11" t="n">
        <f aca="false">D197*Inputs!$D$29-D198</f>
        <v>0.662128482174766</v>
      </c>
      <c r="E200" s="11" t="n">
        <f aca="false">E197*Inputs!$D$29-E198</f>
        <v>2.97375951260214</v>
      </c>
      <c r="F200" s="11" t="n">
        <f aca="false">F197*Inputs!$D$29-F198</f>
        <v>6.82432216859032</v>
      </c>
      <c r="G200" s="11" t="n">
        <f aca="false">G197*Inputs!$D$29-G198</f>
        <v>12.2615548254736</v>
      </c>
      <c r="H200" s="11" t="n">
        <f aca="false">H197*Inputs!$D$29-H198</f>
        <v>14.8426466842648</v>
      </c>
      <c r="I200" s="11" t="n">
        <f aca="false">I197*Inputs!$D$29-I198</f>
        <v>16.358748700891</v>
      </c>
      <c r="J200" s="11" t="n">
        <f aca="false">J197*Inputs!$D$29-J198</f>
        <v>17.8121983498333</v>
      </c>
      <c r="K200" s="11" t="n">
        <f aca="false">K197*Inputs!$D$29-K198</f>
        <v>19.2015434703618</v>
      </c>
      <c r="L200" s="11" t="n">
        <f aca="false">L197*Inputs!$D$29-L198</f>
        <v>20.527839790069</v>
      </c>
    </row>
    <row r="201" customFormat="false" ht="15" hidden="false" customHeight="false" outlineLevel="0" collapsed="false">
      <c r="A201" s="5" t="s">
        <v>395</v>
      </c>
      <c r="D201" s="11" t="n">
        <f aca="false">D200-D199</f>
        <v>-10.9193698256648</v>
      </c>
      <c r="E201" s="11" t="n">
        <f aca="false">E200-E199</f>
        <v>-8.60773879523742</v>
      </c>
      <c r="F201" s="11" t="n">
        <f aca="false">F200-F199</f>
        <v>-4.75717613924924</v>
      </c>
      <c r="G201" s="11" t="n">
        <f aca="false">G200-G199</f>
        <v>0.680056517634045</v>
      </c>
      <c r="H201" s="11" t="n">
        <f aca="false">H200-H199</f>
        <v>3.26114837642523</v>
      </c>
      <c r="I201" s="11" t="n">
        <f aca="false">I200-I199</f>
        <v>4.77725039305147</v>
      </c>
      <c r="J201" s="11" t="n">
        <f aca="false">J200-J199</f>
        <v>6.2307000419937</v>
      </c>
      <c r="K201" s="11" t="n">
        <f aca="false">K200-K199</f>
        <v>7.62004516252229</v>
      </c>
      <c r="L201" s="11" t="n">
        <f aca="false">L200-L199</f>
        <v>8.94634148222946</v>
      </c>
    </row>
    <row r="202" customFormat="false" ht="15" hidden="false" customHeight="false" outlineLevel="0" collapsed="false">
      <c r="A202" s="5" t="s">
        <v>396</v>
      </c>
      <c r="D202" s="48" t="n">
        <f aca="false">1/(1+$B$187)^(D190-2026)</f>
        <v>0.88862037976409</v>
      </c>
      <c r="E202" s="48" t="n">
        <f aca="false">1/(1+$B$187)^(E190-2026)</f>
        <v>0.789646179332075</v>
      </c>
      <c r="F202" s="48" t="n">
        <f aca="false">1/(1+$B$187)^(F190-2026)</f>
        <v>0.701695687757331</v>
      </c>
      <c r="G202" s="48" t="n">
        <f aca="false">1/(1+$B$187)^(G190-2026)</f>
        <v>0.623541088533744</v>
      </c>
      <c r="H202" s="48" t="n">
        <f aca="false">1/(1+$B$187)^(H190-2026)</f>
        <v>0.554091318891369</v>
      </c>
      <c r="I202" s="48" t="n">
        <f aca="false">1/(1+$B$187)^(I190-2026)</f>
        <v>0.492376838217234</v>
      </c>
      <c r="J202" s="48" t="n">
        <f aca="false">1/(1+$B$187)^(J190-2026)</f>
        <v>0.43753609296364</v>
      </c>
      <c r="K202" s="48" t="n">
        <f aca="false">1/(1+$B$187)^(K190-2026)</f>
        <v>0.388803489089846</v>
      </c>
      <c r="L202" s="48" t="n">
        <f aca="false">1/(1+$B$187)^(L190-2026)</f>
        <v>0.345498704128622</v>
      </c>
    </row>
    <row r="203" customFormat="false" ht="15" hidden="false" customHeight="false" outlineLevel="0" collapsed="false">
      <c r="A203" s="5" t="s">
        <v>397</v>
      </c>
      <c r="D203" s="11" t="n">
        <f aca="false">D201*D202</f>
        <v>-9.70317456126679</v>
      </c>
      <c r="E203" s="11" t="n">
        <f aca="false">E201*E202</f>
        <v>-6.79706805234771</v>
      </c>
      <c r="F203" s="11" t="n">
        <f aca="false">F201*F202</f>
        <v>-3.33808998281326</v>
      </c>
      <c r="G203" s="11" t="n">
        <f aca="false">G201*G202</f>
        <v>0.424043181269999</v>
      </c>
      <c r="H203" s="11" t="n">
        <f aca="false">H201*H202</f>
        <v>1.8069740049939</v>
      </c>
      <c r="I203" s="11" t="n">
        <f aca="false">I201*I202</f>
        <v>2.35220744390272</v>
      </c>
      <c r="J203" s="11" t="n">
        <f aca="false">J201*J202</f>
        <v>2.72615615280232</v>
      </c>
      <c r="K203" s="11" t="n">
        <f aca="false">K201*K202</f>
        <v>2.96270014621087</v>
      </c>
      <c r="L203" s="11" t="n">
        <f aca="false">L201*L202</f>
        <v>3.09094938880242</v>
      </c>
    </row>
    <row r="204" customFormat="false" ht="15" hidden="false" customHeight="false" outlineLevel="0" collapsed="false">
      <c r="A204" s="5" t="s">
        <v>398</v>
      </c>
      <c r="C204" s="11" t="n">
        <f aca="false">-B207</f>
        <v>-19.3024971797326</v>
      </c>
      <c r="D204" s="11" t="n">
        <f aca="false">C204+D201</f>
        <v>-30.2218670053974</v>
      </c>
      <c r="E204" s="11" t="n">
        <f aca="false">D204+E201</f>
        <v>-38.8296058006348</v>
      </c>
      <c r="F204" s="11" t="n">
        <f aca="false">E204+F201</f>
        <v>-43.5867819398841</v>
      </c>
      <c r="G204" s="11" t="n">
        <f aca="false">F204+G201</f>
        <v>-42.90672542225</v>
      </c>
      <c r="H204" s="11" t="n">
        <f aca="false">G204+H201</f>
        <v>-39.6455770458248</v>
      </c>
      <c r="I204" s="11" t="n">
        <f aca="false">H204+I201</f>
        <v>-34.8683266527733</v>
      </c>
      <c r="J204" s="11" t="n">
        <f aca="false">I204+J201</f>
        <v>-28.6376266107796</v>
      </c>
      <c r="K204" s="11" t="n">
        <f aca="false">J204+K201</f>
        <v>-21.0175814482573</v>
      </c>
      <c r="L204" s="11" t="n">
        <f aca="false">K204+L201</f>
        <v>-12.0712399660279</v>
      </c>
    </row>
    <row r="205" customFormat="false" ht="15" hidden="false" customHeight="false" outlineLevel="0" collapsed="false">
      <c r="A205" s="5" t="s">
        <v>399</v>
      </c>
      <c r="D205" s="16" t="str">
        <f aca="false">IF(D204&gt;=0,D190,"")</f>
        <v/>
      </c>
      <c r="E205" s="16" t="str">
        <f aca="false">IF(E204&gt;=0,E190,"")</f>
        <v/>
      </c>
      <c r="F205" s="16" t="str">
        <f aca="false">IF(F204&gt;=0,F190,"")</f>
        <v/>
      </c>
      <c r="G205" s="16" t="str">
        <f aca="false">IF(G204&gt;=0,G190,"")</f>
        <v/>
      </c>
      <c r="H205" s="16" t="str">
        <f aca="false">IF(H204&gt;=0,H190,"")</f>
        <v/>
      </c>
      <c r="I205" s="16" t="str">
        <f aca="false">IF(I204&gt;=0,I190,"")</f>
        <v/>
      </c>
      <c r="J205" s="16" t="str">
        <f aca="false">IF(J204&gt;=0,J190,"")</f>
        <v/>
      </c>
      <c r="K205" s="16" t="str">
        <f aca="false">IF(K204&gt;=0,K190,"")</f>
        <v/>
      </c>
      <c r="L205" s="16" t="str">
        <f aca="false">IF(L204&gt;=0,L190,"")</f>
        <v/>
      </c>
    </row>
    <row r="207" customFormat="false" ht="15" hidden="false" customHeight="false" outlineLevel="0" collapsed="false">
      <c r="A207" s="5" t="s">
        <v>400</v>
      </c>
      <c r="B207" s="11" t="n">
        <f aca="false">Inputs!$D$32*$B$186</f>
        <v>19.3024971797326</v>
      </c>
    </row>
    <row r="208" customFormat="false" ht="15" hidden="false" customHeight="false" outlineLevel="0" collapsed="false">
      <c r="A208" s="7" t="s">
        <v>401</v>
      </c>
      <c r="B208" s="12" t="n">
        <f aca="false">-B207+SUM(D203:L203)+Inputs!$D$33*L201*L202</f>
        <v>-10.323052514166</v>
      </c>
    </row>
    <row r="209" customFormat="false" ht="15" hidden="false" customHeight="false" outlineLevel="0" collapsed="false">
      <c r="A209" s="5" t="s">
        <v>402</v>
      </c>
      <c r="B209" s="11" t="n">
        <f aca="false">-MIN(C204:L204)</f>
        <v>43.5867819398841</v>
      </c>
    </row>
    <row r="210" customFormat="false" ht="15" hidden="false" customHeight="false" outlineLevel="0" collapsed="false">
      <c r="A210" s="5" t="s">
        <v>403</v>
      </c>
      <c r="B210" s="16" t="str">
        <f aca="false">IF(COUNT(C205:L205)=0,"none",MIN(C205:L205))</f>
        <v>none</v>
      </c>
    </row>
    <row r="211" customFormat="false" ht="15" hidden="false" customHeight="false" outlineLevel="0" collapsed="false">
      <c r="A211" s="5" t="s">
        <v>404</v>
      </c>
      <c r="B211" s="11" t="n">
        <f aca="false">SUMPRODUCT(D197:L197,D202:L202)+Inputs!$D$33*L197*L202</f>
        <v>186.102139782905</v>
      </c>
    </row>
    <row r="212" customFormat="false" ht="15" hidden="false" customHeight="false" outlineLevel="0" collapsed="false">
      <c r="A212" s="5" t="s">
        <v>405</v>
      </c>
      <c r="B212" s="11" t="n">
        <f aca="false">SUMPRODUCT(D198:L198,D202:L202)+Inputs!$D$33*L198*L202</f>
        <v>3.58828082413491</v>
      </c>
    </row>
    <row r="213" customFormat="false" ht="15" hidden="false" customHeight="false" outlineLevel="0" collapsed="false">
      <c r="A213" s="5" t="s">
        <v>406</v>
      </c>
      <c r="B213" s="11" t="n">
        <f aca="false">B207+Inputs!$D$30*$B$186*(SUM(D202:L202)+Inputs!$D$33*L202)</f>
        <v>99.7858415814834</v>
      </c>
    </row>
    <row r="214" customFormat="false" ht="15" hidden="false" customHeight="false" outlineLevel="0" collapsed="false">
      <c r="A214" s="5" t="s">
        <v>407</v>
      </c>
      <c r="B214" s="11" t="n">
        <f aca="false">Inputs!$D$29*B211-B212-B213</f>
        <v>-10.3230525141661</v>
      </c>
    </row>
    <row r="215" customFormat="false" ht="15" hidden="false" customHeight="false" outlineLevel="0" collapsed="false">
      <c r="A215" s="5" t="s">
        <v>408</v>
      </c>
      <c r="B215" s="49" t="n">
        <f aca="false">IF(Inputs!$D$29*B211-B212&gt;0,B213/(Inputs!$D$29*B211-B212),"n/a")</f>
        <v>1.11538934367895</v>
      </c>
    </row>
    <row r="216" customFormat="false" ht="15" hidden="false" customHeight="false" outlineLevel="0" collapsed="false">
      <c r="A216" s="5" t="s">
        <v>409</v>
      </c>
      <c r="B216" s="50" t="n">
        <f aca="false">ABS(B214-B208)</f>
        <v>0</v>
      </c>
    </row>
    <row r="218" customFormat="false" ht="15" hidden="false" customHeight="false" outlineLevel="0" collapsed="false">
      <c r="A218" s="3" t="s">
        <v>414</v>
      </c>
      <c r="B218" s="42" t="n">
        <f aca="false">MATCH(2,Scorecard!$AS$6:$AS$39,0)</f>
        <v>9</v>
      </c>
      <c r="C218" s="3"/>
      <c r="D218" s="3"/>
      <c r="E218" s="3"/>
      <c r="F218" s="3"/>
      <c r="G218" s="3"/>
      <c r="H218" s="3"/>
      <c r="I218" s="3"/>
      <c r="J218" s="3"/>
      <c r="K218" s="3"/>
      <c r="L218" s="3"/>
    </row>
    <row r="219" customFormat="false" ht="15" hidden="false" customHeight="false" outlineLevel="0" collapsed="false">
      <c r="A219" s="5" t="s">
        <v>36</v>
      </c>
      <c r="B219" s="34" t="str">
        <f aca="false">INDEX(Scorecard!$A$6:$A$39,$B$218)</f>
        <v>Cote d'Ivoire</v>
      </c>
      <c r="C219" s="34" t="str">
        <f aca="false">INDEX(Scorecard!$B$6:$B$39,$B$218)</f>
        <v>CIV</v>
      </c>
    </row>
    <row r="220" customFormat="false" ht="15" hidden="false" customHeight="false" outlineLevel="0" collapsed="false">
      <c r="A220" s="5" t="s">
        <v>191</v>
      </c>
      <c r="B220" s="40" t="n">
        <f aca="false">INDEX(Data!$D$6:$D$39,$B$218)</f>
        <v>18301587</v>
      </c>
    </row>
    <row r="221" customFormat="false" ht="15" hidden="false" customHeight="false" outlineLevel="0" collapsed="false">
      <c r="A221" s="5" t="s">
        <v>203</v>
      </c>
      <c r="B221" s="39" t="n">
        <f aca="false">INDEX(Data!$P$6:$P$39,$B$218)</f>
        <v>2.43618201263834</v>
      </c>
    </row>
    <row r="222" customFormat="false" ht="15" hidden="false" customHeight="false" outlineLevel="0" collapsed="false">
      <c r="A222" s="5" t="s">
        <v>379</v>
      </c>
      <c r="B222" s="36" t="n">
        <f aca="false">INDEX(Data!$E$6:$E$39,$B$218)</f>
        <v>0.533817787682129</v>
      </c>
    </row>
    <row r="223" customFormat="false" ht="15" hidden="false" customHeight="false" outlineLevel="0" collapsed="false">
      <c r="A223" s="5" t="s">
        <v>290</v>
      </c>
      <c r="B223" s="39" t="n">
        <f aca="false">INDEX(Forecast!$E$6:$E$39,$B$218)</f>
        <v>0.135477987904392</v>
      </c>
    </row>
    <row r="224" customFormat="false" ht="15" hidden="false" customHeight="false" outlineLevel="0" collapsed="false">
      <c r="A224" s="5" t="s">
        <v>380</v>
      </c>
      <c r="B224" s="43" t="n">
        <f aca="false">INDEX(Forecast!$F$6:$F$39,$B$218)*Inputs!$E$16</f>
        <v>0.268090592156415</v>
      </c>
    </row>
    <row r="225" customFormat="false" ht="15" hidden="false" customHeight="false" outlineLevel="0" collapsed="false">
      <c r="A225" s="5" t="s">
        <v>381</v>
      </c>
      <c r="B225" s="44" t="n">
        <f aca="false">INDEX(Pools!$J$6:$J$39,$B$218)</f>
        <v>32.1428105920427</v>
      </c>
    </row>
    <row r="226" customFormat="false" ht="15" hidden="false" customHeight="false" outlineLevel="0" collapsed="false">
      <c r="A226" s="5" t="s">
        <v>307</v>
      </c>
      <c r="B226" s="39" t="n">
        <f aca="false">INDEX(Pools!$G$6:$G$39,$B$218)</f>
        <v>0.96512485898663</v>
      </c>
    </row>
    <row r="227" customFormat="false" ht="15" hidden="false" customHeight="false" outlineLevel="0" collapsed="false">
      <c r="A227" s="5" t="s">
        <v>46</v>
      </c>
      <c r="B227" s="36" t="n">
        <f aca="false">INDEX(Scorecard!$AT$6:$AT$39,$B$218)</f>
        <v>0.125339934546042</v>
      </c>
    </row>
    <row r="228" customFormat="false" ht="15" hidden="false" customHeight="false" outlineLevel="0" collapsed="false">
      <c r="A228" s="5" t="s">
        <v>382</v>
      </c>
      <c r="B228" s="36" t="n">
        <f aca="false">Inputs!$E$19</f>
        <v>0.05</v>
      </c>
    </row>
    <row r="229" customFormat="false" ht="15" hidden="false" customHeight="false" outlineLevel="0" collapsed="false">
      <c r="A229" s="5" t="s">
        <v>383</v>
      </c>
      <c r="B229" s="36" t="n">
        <f aca="false">Inputs!$E$18</f>
        <v>0.22</v>
      </c>
    </row>
    <row r="230" customFormat="false" ht="15" hidden="false" customHeight="false" outlineLevel="0" collapsed="false">
      <c r="A230" s="45" t="s">
        <v>384</v>
      </c>
      <c r="B230" s="45"/>
      <c r="C230" s="46" t="n">
        <v>2026</v>
      </c>
      <c r="D230" s="46" t="n">
        <v>2027</v>
      </c>
      <c r="E230" s="46" t="n">
        <v>2028</v>
      </c>
      <c r="F230" s="46" t="n">
        <v>2029</v>
      </c>
      <c r="G230" s="46" t="n">
        <v>2030</v>
      </c>
      <c r="H230" s="46" t="n">
        <v>2031</v>
      </c>
      <c r="I230" s="46" t="n">
        <v>2032</v>
      </c>
      <c r="J230" s="46" t="n">
        <v>2033</v>
      </c>
      <c r="K230" s="46" t="n">
        <v>2034</v>
      </c>
      <c r="L230" s="46" t="n">
        <v>2035</v>
      </c>
    </row>
    <row r="231" customFormat="false" ht="15" hidden="false" customHeight="false" outlineLevel="0" collapsed="false">
      <c r="A231" s="5" t="s">
        <v>385</v>
      </c>
      <c r="D231" s="14" t="n">
        <f aca="false">$B$220*(1+$B$221/100)^(D230-2024)</f>
        <v>19672017.4098998</v>
      </c>
      <c r="E231" s="14" t="n">
        <f aca="false">$B$220*(1+$B$221/100)^(E230-2024)</f>
        <v>20151263.5595629</v>
      </c>
      <c r="F231" s="14" t="n">
        <f aca="false">$B$220*(1+$B$221/100)^(F230-2024)</f>
        <v>20642185.0177203</v>
      </c>
      <c r="G231" s="14" t="n">
        <f aca="false">$B$220*(1+$B$221/100)^(G230-2024)</f>
        <v>21145066.2161375</v>
      </c>
      <c r="H231" s="14" t="n">
        <f aca="false">$B$220*(1+$B$221/100)^(H230-2024)</f>
        <v>21660198.5158555</v>
      </c>
      <c r="I231" s="14" t="n">
        <f aca="false">$B$220*(1+$B$221/100)^(I230-2024)</f>
        <v>22187880.3760006</v>
      </c>
      <c r="J231" s="14" t="n">
        <f aca="false">$B$220*(1+$B$221/100)^(J230-2024)</f>
        <v>22728417.5267064</v>
      </c>
      <c r="K231" s="14" t="n">
        <f aca="false">$B$220*(1+$B$221/100)^(K230-2024)</f>
        <v>23282123.1462494</v>
      </c>
      <c r="L231" s="14" t="n">
        <f aca="false">$B$220*(1+$B$221/100)^(L230-2024)</f>
        <v>23849318.0424986</v>
      </c>
    </row>
    <row r="232" customFormat="false" ht="15" hidden="false" customHeight="false" outlineLevel="0" collapsed="false">
      <c r="A232" s="5" t="s">
        <v>386</v>
      </c>
      <c r="D232" s="13" t="n">
        <f aca="false">MIN(1/(1+EXP(-($B$223+$B$224*(D230-2024)))),MAX(Inputs!$D$9,$B$222))</f>
        <v>0.719049108214752</v>
      </c>
      <c r="E232" s="13" t="n">
        <f aca="false">MIN(1/(1+EXP(-($B$223+$B$224*(E230-2024)))),MAX(Inputs!$D$9,$B$222))</f>
        <v>0.769916601971442</v>
      </c>
      <c r="F232" s="13" t="n">
        <f aca="false">MIN(1/(1+EXP(-($B$223+$B$224*(F230-2024)))),MAX(Inputs!$D$9,$B$222))</f>
        <v>0.813957187686895</v>
      </c>
      <c r="G232" s="13" t="n">
        <f aca="false">MIN(1/(1+EXP(-($B$223+$B$224*(G230-2024)))),MAX(Inputs!$D$9,$B$222))</f>
        <v>0.851197155815843</v>
      </c>
      <c r="H232" s="13" t="n">
        <f aca="false">MIN(1/(1+EXP(-($B$223+$B$224*(H230-2024)))),MAX(Inputs!$D$9,$B$222))</f>
        <v>0.882062920372691</v>
      </c>
      <c r="I232" s="13" t="n">
        <f aca="false">MIN(1/(1+EXP(-($B$223+$B$224*(I230-2024)))),MAX(Inputs!$D$9,$B$222))</f>
        <v>0.907224111368491</v>
      </c>
      <c r="J232" s="13" t="n">
        <f aca="false">MIN(1/(1+EXP(-($B$223+$B$224*(J230-2024)))),MAX(Inputs!$D$9,$B$222))</f>
        <v>0.92</v>
      </c>
      <c r="K232" s="13" t="n">
        <f aca="false">MIN(1/(1+EXP(-($B$223+$B$224*(K230-2024)))),MAX(Inputs!$D$9,$B$222))</f>
        <v>0.92</v>
      </c>
      <c r="L232" s="13" t="n">
        <f aca="false">MIN(1/(1+EXP(-($B$223+$B$224*(L230-2024)))),MAX(Inputs!$D$9,$B$222))</f>
        <v>0.92</v>
      </c>
    </row>
    <row r="233" customFormat="false" ht="15" hidden="false" customHeight="false" outlineLevel="0" collapsed="false">
      <c r="A233" s="5" t="s">
        <v>387</v>
      </c>
      <c r="D233" s="14" t="n">
        <f aca="false">D231*$B$222</f>
        <v>10501272.812997</v>
      </c>
      <c r="E233" s="14" t="n">
        <f aca="false">E231*$B$222</f>
        <v>10757102.9323654</v>
      </c>
      <c r="F233" s="14" t="n">
        <f aca="false">F231*$B$222</f>
        <v>11019165.5390846</v>
      </c>
      <c r="G233" s="14" t="n">
        <f aca="false">G231*$B$222</f>
        <v>11287612.4678907</v>
      </c>
      <c r="H233" s="14" t="n">
        <f aca="false">H231*$B$222</f>
        <v>11562599.2524897</v>
      </c>
      <c r="I233" s="14" t="n">
        <f aca="false">I231*$B$222</f>
        <v>11844285.2156723</v>
      </c>
      <c r="J233" s="14" t="n">
        <f aca="false">J231*$B$222</f>
        <v>12132833.5616221</v>
      </c>
      <c r="K233" s="14" t="n">
        <f aca="false">K231*$B$222</f>
        <v>12428411.4704737</v>
      </c>
      <c r="L233" s="14" t="n">
        <f aca="false">L231*$B$222</f>
        <v>12731190.1951741</v>
      </c>
    </row>
    <row r="234" customFormat="false" ht="15" hidden="false" customHeight="false" outlineLevel="0" collapsed="false">
      <c r="A234" s="5" t="s">
        <v>388</v>
      </c>
      <c r="D234" s="14" t="n">
        <f aca="false">MAX(0,D231*D232-D233)</f>
        <v>3643873.7623765</v>
      </c>
      <c r="E234" s="14" t="n">
        <f aca="false">MAX(0,E231*E232-E233)</f>
        <v>4757689.43284423</v>
      </c>
      <c r="F234" s="14" t="n">
        <f aca="false">MAX(0,F231*F232-F233)</f>
        <v>5782689.32565153</v>
      </c>
      <c r="G234" s="14" t="n">
        <f aca="false">MAX(0,G231*G232-G233)</f>
        <v>6711007.75482328</v>
      </c>
      <c r="H234" s="14" t="n">
        <f aca="false">MAX(0,H231*H232-H233)</f>
        <v>7543058.70625803</v>
      </c>
      <c r="I234" s="14" t="n">
        <f aca="false">MAX(0,I231*I232-I233)</f>
        <v>8285094.84159515</v>
      </c>
      <c r="J234" s="14" t="n">
        <f aca="false">MAX(0,J231*J232-J233)</f>
        <v>8777310.56294775</v>
      </c>
      <c r="K234" s="14" t="n">
        <f aca="false">MAX(0,K231*K232-K233)</f>
        <v>8991141.82407569</v>
      </c>
      <c r="L234" s="14" t="n">
        <f aca="false">MAX(0,L231*L232-L233)</f>
        <v>9210182.40392462</v>
      </c>
    </row>
    <row r="235" customFormat="false" ht="15" hidden="false" customHeight="false" outlineLevel="0" collapsed="false">
      <c r="A235" s="5" t="s">
        <v>389</v>
      </c>
      <c r="D235" s="47" t="n">
        <f aca="false">Inputs!$D$41</f>
        <v>0.1</v>
      </c>
      <c r="E235" s="47" t="n">
        <f aca="false">Inputs!$D$42</f>
        <v>0.35</v>
      </c>
      <c r="F235" s="47" t="n">
        <f aca="false">Inputs!$D$43</f>
        <v>0.65</v>
      </c>
      <c r="G235" s="47" t="n">
        <f aca="false">Inputs!$D$44</f>
        <v>1</v>
      </c>
      <c r="H235" s="47" t="n">
        <f aca="false">Inputs!$D$44</f>
        <v>1</v>
      </c>
      <c r="I235" s="47" t="n">
        <f aca="false">Inputs!$D$44</f>
        <v>1</v>
      </c>
      <c r="J235" s="47" t="n">
        <f aca="false">Inputs!$D$44</f>
        <v>1</v>
      </c>
      <c r="K235" s="47" t="n">
        <f aca="false">Inputs!$D$44</f>
        <v>1</v>
      </c>
      <c r="L235" s="47" t="n">
        <f aca="false">Inputs!$D$44</f>
        <v>1</v>
      </c>
    </row>
    <row r="236" customFormat="false" ht="15" hidden="false" customHeight="false" outlineLevel="0" collapsed="false">
      <c r="A236" s="5" t="s">
        <v>390</v>
      </c>
      <c r="C236" s="14" t="n">
        <v>0</v>
      </c>
      <c r="D236" s="14" t="n">
        <f aca="false">D235*($B$228*D233+$B$229*D234)</f>
        <v>132671.586837268</v>
      </c>
      <c r="E236" s="14" t="n">
        <f aca="false">E235*($B$228*E233+$B$229*E234)</f>
        <v>554591.3876454</v>
      </c>
      <c r="F236" s="14" t="n">
        <f aca="false">F235*($B$228*F233+$B$229*F234)</f>
        <v>1185047.45358842</v>
      </c>
      <c r="G236" s="14" t="n">
        <f aca="false">G235*($B$228*G233+$B$229*G234)</f>
        <v>2040802.32945565</v>
      </c>
      <c r="H236" s="14" t="n">
        <f aca="false">H235*($B$228*H233+$B$229*H234)</f>
        <v>2237602.87800125</v>
      </c>
      <c r="I236" s="14" t="n">
        <f aca="false">I235*($B$228*I233+$B$229*I234)</f>
        <v>2414935.12593455</v>
      </c>
      <c r="J236" s="14" t="n">
        <f aca="false">J235*($B$228*J233+$B$229*J234)</f>
        <v>2537650.00192961</v>
      </c>
      <c r="K236" s="14" t="n">
        <f aca="false">K235*($B$228*K233+$B$229*K234)</f>
        <v>2599471.77482034</v>
      </c>
      <c r="L236" s="14" t="n">
        <f aca="false">L235*($B$228*L233+$B$229*L234)</f>
        <v>2662799.63862212</v>
      </c>
    </row>
    <row r="237" customFormat="false" ht="15" hidden="false" customHeight="false" outlineLevel="0" collapsed="false">
      <c r="A237" s="5" t="s">
        <v>391</v>
      </c>
      <c r="D237" s="11" t="n">
        <f aca="false">D236*$B$225/1000000</f>
        <v>4.26443768665606</v>
      </c>
      <c r="E237" s="11" t="n">
        <f aca="false">E236*$B$225/1000000</f>
        <v>17.8261259290642</v>
      </c>
      <c r="F237" s="11" t="n">
        <f aca="false">F236*$B$225/1000000</f>
        <v>38.0907558432751</v>
      </c>
      <c r="G237" s="11" t="n">
        <f aca="false">G236*$B$225/1000000</f>
        <v>65.5971227314927</v>
      </c>
      <c r="H237" s="11" t="n">
        <f aca="false">H236*$B$225/1000000</f>
        <v>71.922845487804</v>
      </c>
      <c r="I237" s="11" t="n">
        <f aca="false">I236*$B$225/1000000</f>
        <v>77.6228023449851</v>
      </c>
      <c r="J237" s="11" t="n">
        <f aca="false">J236*$B$225/1000000</f>
        <v>81.5672033609204</v>
      </c>
      <c r="K237" s="11" t="n">
        <f aca="false">K236*$B$225/1000000</f>
        <v>83.5543288974113</v>
      </c>
      <c r="L237" s="11" t="n">
        <f aca="false">L236*$B$225/1000000</f>
        <v>85.5898644287907</v>
      </c>
    </row>
    <row r="238" customFormat="false" ht="15" hidden="false" customHeight="false" outlineLevel="0" collapsed="false">
      <c r="A238" s="5" t="s">
        <v>392</v>
      </c>
      <c r="D238" s="11" t="n">
        <f aca="false">Inputs!$D$31*MAX(0,D236-C236)/1000000</f>
        <v>0.398014760511805</v>
      </c>
      <c r="E238" s="11" t="n">
        <f aca="false">Inputs!$D$31*MAX(0,E236-D236)/1000000</f>
        <v>1.26575940242439</v>
      </c>
      <c r="F238" s="11" t="n">
        <f aca="false">Inputs!$D$31*MAX(0,F236-E236)/1000000</f>
        <v>1.89136819782906</v>
      </c>
      <c r="G238" s="11" t="n">
        <f aca="false">Inputs!$D$31*MAX(0,G236-F236)/1000000</f>
        <v>2.56726462760171</v>
      </c>
      <c r="H238" s="11" t="n">
        <f aca="false">Inputs!$D$31*MAX(0,H236-G236)/1000000</f>
        <v>0.590401645636797</v>
      </c>
      <c r="I238" s="11" t="n">
        <f aca="false">Inputs!$D$31*MAX(0,I236-H236)/1000000</f>
        <v>0.531996743799887</v>
      </c>
      <c r="J238" s="11" t="n">
        <f aca="false">Inputs!$D$31*MAX(0,J236-I236)/1000000</f>
        <v>0.368144627985188</v>
      </c>
      <c r="K238" s="11" t="n">
        <f aca="false">Inputs!$D$31*MAX(0,K236-J236)/1000000</f>
        <v>0.185465318672176</v>
      </c>
      <c r="L238" s="11" t="n">
        <f aca="false">Inputs!$D$31*MAX(0,L236-K236)/1000000</f>
        <v>0.189983591405349</v>
      </c>
    </row>
    <row r="239" customFormat="false" ht="15" hidden="false" customHeight="false" outlineLevel="0" collapsed="false">
      <c r="A239" s="5" t="s">
        <v>393</v>
      </c>
      <c r="D239" s="11" t="n">
        <f aca="false">Inputs!$D$30*$B$226</f>
        <v>11.5814983078396</v>
      </c>
      <c r="E239" s="11" t="n">
        <f aca="false">Inputs!$D$30*$B$226</f>
        <v>11.5814983078396</v>
      </c>
      <c r="F239" s="11" t="n">
        <f aca="false">Inputs!$D$30*$B$226</f>
        <v>11.5814983078396</v>
      </c>
      <c r="G239" s="11" t="n">
        <f aca="false">Inputs!$D$30*$B$226</f>
        <v>11.5814983078396</v>
      </c>
      <c r="H239" s="11" t="n">
        <f aca="false">Inputs!$D$30*$B$226</f>
        <v>11.5814983078396</v>
      </c>
      <c r="I239" s="11" t="n">
        <f aca="false">Inputs!$D$30*$B$226</f>
        <v>11.5814983078396</v>
      </c>
      <c r="J239" s="11" t="n">
        <f aca="false">Inputs!$D$30*$B$226</f>
        <v>11.5814983078396</v>
      </c>
      <c r="K239" s="11" t="n">
        <f aca="false">Inputs!$D$30*$B$226</f>
        <v>11.5814983078396</v>
      </c>
      <c r="L239" s="11" t="n">
        <f aca="false">Inputs!$D$30*$B$226</f>
        <v>11.5814983078396</v>
      </c>
    </row>
    <row r="240" customFormat="false" ht="15" hidden="false" customHeight="false" outlineLevel="0" collapsed="false">
      <c r="A240" s="5" t="s">
        <v>394</v>
      </c>
      <c r="D240" s="11" t="n">
        <f aca="false">D237*Inputs!$D$29-D238</f>
        <v>1.73420408281623</v>
      </c>
      <c r="E240" s="11" t="n">
        <f aca="false">E237*Inputs!$D$29-E238</f>
        <v>7.64730356210772</v>
      </c>
      <c r="F240" s="11" t="n">
        <f aca="false">F237*Inputs!$D$29-F238</f>
        <v>17.1540097238085</v>
      </c>
      <c r="G240" s="11" t="n">
        <f aca="false">G237*Inputs!$D$29-G238</f>
        <v>30.2312967381447</v>
      </c>
      <c r="H240" s="11" t="n">
        <f aca="false">H237*Inputs!$D$29-H238</f>
        <v>35.3710210982652</v>
      </c>
      <c r="I240" s="11" t="n">
        <f aca="false">I237*Inputs!$D$29-I238</f>
        <v>38.2794044286927</v>
      </c>
      <c r="J240" s="11" t="n">
        <f aca="false">J237*Inputs!$D$29-J238</f>
        <v>40.415457052475</v>
      </c>
      <c r="K240" s="11" t="n">
        <f aca="false">K237*Inputs!$D$29-K238</f>
        <v>41.5916991300335</v>
      </c>
      <c r="L240" s="11" t="n">
        <f aca="false">L237*Inputs!$D$29-L238</f>
        <v>42.60494862299</v>
      </c>
    </row>
    <row r="241" customFormat="false" ht="15" hidden="false" customHeight="false" outlineLevel="0" collapsed="false">
      <c r="A241" s="5" t="s">
        <v>395</v>
      </c>
      <c r="D241" s="11" t="n">
        <f aca="false">D240-D239</f>
        <v>-9.84729422502333</v>
      </c>
      <c r="E241" s="11" t="n">
        <f aca="false">E240-E239</f>
        <v>-3.93419474573184</v>
      </c>
      <c r="F241" s="11" t="n">
        <f aca="false">F240-F239</f>
        <v>5.57251141596894</v>
      </c>
      <c r="G241" s="11" t="n">
        <f aca="false">G240-G239</f>
        <v>18.6497984303051</v>
      </c>
      <c r="H241" s="11" t="n">
        <f aca="false">H240-H239</f>
        <v>23.7895227904257</v>
      </c>
      <c r="I241" s="11" t="n">
        <f aca="false">I240-I239</f>
        <v>26.6979061208531</v>
      </c>
      <c r="J241" s="11" t="n">
        <f aca="false">J240-J239</f>
        <v>28.8339587446355</v>
      </c>
      <c r="K241" s="11" t="n">
        <f aca="false">K240-K239</f>
        <v>30.0102008221939</v>
      </c>
      <c r="L241" s="11" t="n">
        <f aca="false">L240-L239</f>
        <v>31.0234503151504</v>
      </c>
    </row>
    <row r="242" customFormat="false" ht="15" hidden="false" customHeight="false" outlineLevel="0" collapsed="false">
      <c r="A242" s="5" t="s">
        <v>396</v>
      </c>
      <c r="D242" s="48" t="n">
        <f aca="false">1/(1+$B$227)^(D230-2026)</f>
        <v>0.88862037976409</v>
      </c>
      <c r="E242" s="48" t="n">
        <f aca="false">1/(1+$B$227)^(E230-2026)</f>
        <v>0.789646179332075</v>
      </c>
      <c r="F242" s="48" t="n">
        <f aca="false">1/(1+$B$227)^(F230-2026)</f>
        <v>0.701695687757331</v>
      </c>
      <c r="G242" s="48" t="n">
        <f aca="false">1/(1+$B$227)^(G230-2026)</f>
        <v>0.623541088533744</v>
      </c>
      <c r="H242" s="48" t="n">
        <f aca="false">1/(1+$B$227)^(H230-2026)</f>
        <v>0.554091318891369</v>
      </c>
      <c r="I242" s="48" t="n">
        <f aca="false">1/(1+$B$227)^(I230-2026)</f>
        <v>0.492376838217234</v>
      </c>
      <c r="J242" s="48" t="n">
        <f aca="false">1/(1+$B$227)^(J230-2026)</f>
        <v>0.43753609296364</v>
      </c>
      <c r="K242" s="48" t="n">
        <f aca="false">1/(1+$B$227)^(K230-2026)</f>
        <v>0.388803489089846</v>
      </c>
      <c r="L242" s="48" t="n">
        <f aca="false">1/(1+$B$227)^(L230-2026)</f>
        <v>0.345498704128622</v>
      </c>
    </row>
    <row r="243" customFormat="false" ht="15" hidden="false" customHeight="false" outlineLevel="0" collapsed="false">
      <c r="A243" s="5" t="s">
        <v>397</v>
      </c>
      <c r="D243" s="11" t="n">
        <f aca="false">D241*D242</f>
        <v>-8.75050633388896</v>
      </c>
      <c r="E243" s="11" t="n">
        <f aca="false">E241*E242</f>
        <v>-3.10662184971547</v>
      </c>
      <c r="F243" s="11" t="n">
        <f aca="false">F241*F242</f>
        <v>3.91020723056391</v>
      </c>
      <c r="G243" s="11" t="n">
        <f aca="false">G241*G242</f>
        <v>11.6289156141673</v>
      </c>
      <c r="H243" s="11" t="n">
        <f aca="false">H241*H242</f>
        <v>13.1815680587432</v>
      </c>
      <c r="I243" s="11" t="n">
        <f aca="false">I241*I242</f>
        <v>13.1454306028062</v>
      </c>
      <c r="J243" s="11" t="n">
        <f aca="false">J241*J242</f>
        <v>12.6158976538026</v>
      </c>
      <c r="K243" s="11" t="n">
        <f aca="false">K241*K242</f>
        <v>11.668070787956</v>
      </c>
      <c r="L243" s="11" t="n">
        <f aca="false">L241*L242</f>
        <v>10.7185618814832</v>
      </c>
    </row>
    <row r="244" customFormat="false" ht="15" hidden="false" customHeight="false" outlineLevel="0" collapsed="false">
      <c r="A244" s="5" t="s">
        <v>398</v>
      </c>
      <c r="C244" s="11" t="n">
        <f aca="false">-B247</f>
        <v>-19.3024971797326</v>
      </c>
      <c r="D244" s="11" t="n">
        <f aca="false">C244+D241</f>
        <v>-29.1497914047559</v>
      </c>
      <c r="E244" s="11" t="n">
        <f aca="false">D244+E241</f>
        <v>-33.0839861504878</v>
      </c>
      <c r="F244" s="11" t="n">
        <f aca="false">E244+F241</f>
        <v>-27.5114747345188</v>
      </c>
      <c r="G244" s="11" t="n">
        <f aca="false">F244+G241</f>
        <v>-8.86167630421375</v>
      </c>
      <c r="H244" s="11" t="n">
        <f aca="false">G244+H241</f>
        <v>14.9278464862119</v>
      </c>
      <c r="I244" s="11" t="n">
        <f aca="false">H244+I241</f>
        <v>41.625752607065</v>
      </c>
      <c r="J244" s="11" t="n">
        <f aca="false">I244+J241</f>
        <v>70.4597113517005</v>
      </c>
      <c r="K244" s="11" t="n">
        <f aca="false">J244+K241</f>
        <v>100.469912173894</v>
      </c>
      <c r="L244" s="11" t="n">
        <f aca="false">K244+L241</f>
        <v>131.493362489045</v>
      </c>
    </row>
    <row r="245" customFormat="false" ht="15" hidden="false" customHeight="false" outlineLevel="0" collapsed="false">
      <c r="A245" s="5" t="s">
        <v>399</v>
      </c>
      <c r="D245" s="16" t="str">
        <f aca="false">IF(D244&gt;=0,D230,"")</f>
        <v/>
      </c>
      <c r="E245" s="16" t="str">
        <f aca="false">IF(E244&gt;=0,E230,"")</f>
        <v/>
      </c>
      <c r="F245" s="16" t="str">
        <f aca="false">IF(F244&gt;=0,F230,"")</f>
        <v/>
      </c>
      <c r="G245" s="16" t="str">
        <f aca="false">IF(G244&gt;=0,G230,"")</f>
        <v/>
      </c>
      <c r="H245" s="16" t="n">
        <f aca="false">IF(H244&gt;=0,H230,"")</f>
        <v>2031</v>
      </c>
      <c r="I245" s="16" t="n">
        <f aca="false">IF(I244&gt;=0,I230,"")</f>
        <v>2032</v>
      </c>
      <c r="J245" s="16" t="n">
        <f aca="false">IF(J244&gt;=0,J230,"")</f>
        <v>2033</v>
      </c>
      <c r="K245" s="16" t="n">
        <f aca="false">IF(K244&gt;=0,K230,"")</f>
        <v>2034</v>
      </c>
      <c r="L245" s="16" t="n">
        <f aca="false">IF(L244&gt;=0,L230,"")</f>
        <v>2035</v>
      </c>
    </row>
    <row r="247" customFormat="false" ht="15" hidden="false" customHeight="false" outlineLevel="0" collapsed="false">
      <c r="A247" s="5" t="s">
        <v>400</v>
      </c>
      <c r="B247" s="11" t="n">
        <f aca="false">Inputs!$D$32*$B$226</f>
        <v>19.3024971797326</v>
      </c>
    </row>
    <row r="248" customFormat="false" ht="15" hidden="false" customHeight="false" outlineLevel="0" collapsed="false">
      <c r="A248" s="7" t="s">
        <v>401</v>
      </c>
      <c r="B248" s="12" t="n">
        <f aca="false">-B247+SUM(D243:L243)+Inputs!$D$33*L241*L242</f>
        <v>99.3018358736013</v>
      </c>
    </row>
    <row r="249" customFormat="false" ht="15" hidden="false" customHeight="false" outlineLevel="0" collapsed="false">
      <c r="A249" s="5" t="s">
        <v>402</v>
      </c>
      <c r="B249" s="11" t="n">
        <f aca="false">-MIN(C244:L244)</f>
        <v>33.0839861504878</v>
      </c>
    </row>
    <row r="250" customFormat="false" ht="15" hidden="false" customHeight="false" outlineLevel="0" collapsed="false">
      <c r="A250" s="5" t="s">
        <v>403</v>
      </c>
      <c r="B250" s="16" t="n">
        <f aca="false">IF(COUNT(C245:L245)=0,"none",MIN(C245:L245))</f>
        <v>2031</v>
      </c>
    </row>
    <row r="251" customFormat="false" ht="15" hidden="false" customHeight="false" outlineLevel="0" collapsed="false">
      <c r="A251" s="5" t="s">
        <v>404</v>
      </c>
      <c r="B251" s="11" t="n">
        <f aca="false">SUMPRODUCT(D237:L237,D242:L242)+Inputs!$D$33*L237*L242</f>
        <v>409.169846763569</v>
      </c>
    </row>
    <row r="252" customFormat="false" ht="15" hidden="false" customHeight="false" outlineLevel="0" collapsed="false">
      <c r="A252" s="5" t="s">
        <v>405</v>
      </c>
      <c r="B252" s="11" t="n">
        <f aca="false">SUMPRODUCT(D238:L238,D242:L242)+Inputs!$D$33*L238*L242</f>
        <v>5.49724592669991</v>
      </c>
    </row>
    <row r="253" customFormat="false" ht="15" hidden="false" customHeight="false" outlineLevel="0" collapsed="false">
      <c r="A253" s="5" t="s">
        <v>406</v>
      </c>
      <c r="B253" s="11" t="n">
        <f aca="false">B247+Inputs!$D$30*$B$226*(SUM(D242:L242)+Inputs!$D$33*L242)</f>
        <v>99.7858415814834</v>
      </c>
    </row>
    <row r="254" customFormat="false" ht="15" hidden="false" customHeight="false" outlineLevel="0" collapsed="false">
      <c r="A254" s="5" t="s">
        <v>407</v>
      </c>
      <c r="B254" s="11" t="n">
        <f aca="false">Inputs!$D$29*B251-B252-B253</f>
        <v>99.3018358736012</v>
      </c>
    </row>
    <row r="255" customFormat="false" ht="15" hidden="false" customHeight="false" outlineLevel="0" collapsed="false">
      <c r="A255" s="5" t="s">
        <v>408</v>
      </c>
      <c r="B255" s="49" t="n">
        <f aca="false">IF(Inputs!$D$29*B251-B252&gt;0,B253/(Inputs!$D$29*B251-B252),"n/a")</f>
        <v>0.501215559179928</v>
      </c>
    </row>
    <row r="256" customFormat="false" ht="15" hidden="false" customHeight="false" outlineLevel="0" collapsed="false">
      <c r="A256" s="5" t="s">
        <v>409</v>
      </c>
      <c r="B256" s="50" t="n">
        <f aca="false">ABS(B254-B248)</f>
        <v>0</v>
      </c>
    </row>
    <row r="258" customFormat="false" ht="15" hidden="false" customHeight="false" outlineLevel="0" collapsed="false">
      <c r="A258" s="3" t="s">
        <v>415</v>
      </c>
      <c r="B258" s="42" t="n">
        <f aca="false">MATCH(3,Scorecard!$AS$6:$AS$39,0)</f>
        <v>32</v>
      </c>
      <c r="C258" s="3"/>
      <c r="D258" s="3"/>
      <c r="E258" s="3"/>
      <c r="F258" s="3"/>
      <c r="G258" s="3"/>
      <c r="H258" s="3"/>
      <c r="I258" s="3"/>
      <c r="J258" s="3"/>
      <c r="K258" s="3"/>
      <c r="L258" s="3"/>
    </row>
    <row r="259" customFormat="false" ht="15" hidden="false" customHeight="false" outlineLevel="0" collapsed="false">
      <c r="A259" s="5" t="s">
        <v>36</v>
      </c>
      <c r="B259" s="34" t="str">
        <f aca="false">INDEX(Scorecard!$A$6:$A$39,$B$258)</f>
        <v>Uganda</v>
      </c>
      <c r="C259" s="34" t="str">
        <f aca="false">INDEX(Scorecard!$B$6:$B$39,$B$258)</f>
        <v>UGA</v>
      </c>
    </row>
    <row r="260" customFormat="false" ht="15" hidden="false" customHeight="false" outlineLevel="0" collapsed="false">
      <c r="A260" s="5" t="s">
        <v>191</v>
      </c>
      <c r="B260" s="40" t="n">
        <f aca="false">INDEX(Data!$D$6:$D$39,$B$258)</f>
        <v>27277834</v>
      </c>
    </row>
    <row r="261" customFormat="false" ht="15" hidden="false" customHeight="false" outlineLevel="0" collapsed="false">
      <c r="A261" s="5" t="s">
        <v>203</v>
      </c>
      <c r="B261" s="39" t="n">
        <f aca="false">INDEX(Data!$P$6:$P$39,$B$258)</f>
        <v>2.75373170025335</v>
      </c>
    </row>
    <row r="262" customFormat="false" ht="15" hidden="false" customHeight="false" outlineLevel="0" collapsed="false">
      <c r="A262" s="5" t="s">
        <v>379</v>
      </c>
      <c r="B262" s="36" t="n">
        <f aca="false">INDEX(Data!$E$6:$E$39,$B$258)</f>
        <v>0.677382954204934</v>
      </c>
    </row>
    <row r="263" customFormat="false" ht="15" hidden="false" customHeight="false" outlineLevel="0" collapsed="false">
      <c r="A263" s="5" t="s">
        <v>290</v>
      </c>
      <c r="B263" s="39" t="n">
        <f aca="false">INDEX(Forecast!$E$6:$E$39,$B$258)</f>
        <v>0.741770773418204</v>
      </c>
    </row>
    <row r="264" customFormat="false" ht="15" hidden="false" customHeight="false" outlineLevel="0" collapsed="false">
      <c r="A264" s="5" t="s">
        <v>380</v>
      </c>
      <c r="B264" s="43" t="n">
        <f aca="false">INDEX(Forecast!$F$6:$F$39,$B$258)*Inputs!$C$16</f>
        <v>0.0893635307188049</v>
      </c>
    </row>
    <row r="265" customFormat="false" ht="15" hidden="false" customHeight="false" outlineLevel="0" collapsed="false">
      <c r="A265" s="5" t="s">
        <v>381</v>
      </c>
      <c r="B265" s="44" t="n">
        <f aca="false">INDEX(Pools!$H$6:$H$39,$B$258)</f>
        <v>11.2183858381493</v>
      </c>
    </row>
    <row r="266" customFormat="false" ht="15" hidden="false" customHeight="false" outlineLevel="0" collapsed="false">
      <c r="A266" s="5" t="s">
        <v>307</v>
      </c>
      <c r="B266" s="39" t="n">
        <f aca="false">INDEX(Pools!$G$6:$G$39,$B$258)</f>
        <v>1.13217081266373</v>
      </c>
    </row>
    <row r="267" customFormat="false" ht="15" hidden="false" customHeight="false" outlineLevel="0" collapsed="false">
      <c r="A267" s="5" t="s">
        <v>46</v>
      </c>
      <c r="B267" s="36" t="n">
        <f aca="false">INDEX(Scorecard!$AT$6:$AT$39,$B$258)</f>
        <v>0.1271710250055</v>
      </c>
    </row>
    <row r="268" customFormat="false" ht="15" hidden="false" customHeight="false" outlineLevel="0" collapsed="false">
      <c r="A268" s="5" t="s">
        <v>382</v>
      </c>
      <c r="B268" s="36" t="n">
        <f aca="false">Inputs!$C$19</f>
        <v>0.015</v>
      </c>
    </row>
    <row r="269" customFormat="false" ht="15" hidden="false" customHeight="false" outlineLevel="0" collapsed="false">
      <c r="A269" s="5" t="s">
        <v>383</v>
      </c>
      <c r="B269" s="36" t="n">
        <f aca="false">Inputs!$C$18</f>
        <v>0.08</v>
      </c>
    </row>
    <row r="270" customFormat="false" ht="15" hidden="false" customHeight="false" outlineLevel="0" collapsed="false">
      <c r="A270" s="45" t="s">
        <v>384</v>
      </c>
      <c r="B270" s="45"/>
      <c r="C270" s="46" t="n">
        <v>2026</v>
      </c>
      <c r="D270" s="46" t="n">
        <v>2027</v>
      </c>
      <c r="E270" s="46" t="n">
        <v>2028</v>
      </c>
      <c r="F270" s="46" t="n">
        <v>2029</v>
      </c>
      <c r="G270" s="46" t="n">
        <v>2030</v>
      </c>
      <c r="H270" s="46" t="n">
        <v>2031</v>
      </c>
      <c r="I270" s="46" t="n">
        <v>2032</v>
      </c>
      <c r="J270" s="46" t="n">
        <v>2033</v>
      </c>
      <c r="K270" s="46" t="n">
        <v>2034</v>
      </c>
      <c r="L270" s="46" t="n">
        <v>2035</v>
      </c>
    </row>
    <row r="271" customFormat="false" ht="15" hidden="false" customHeight="false" outlineLevel="0" collapsed="false">
      <c r="A271" s="5" t="s">
        <v>385</v>
      </c>
      <c r="D271" s="14" t="n">
        <f aca="false">$B$260*(1+$B$261/100)^(D270-2024)</f>
        <v>29593933.3500631</v>
      </c>
      <c r="E271" s="14" t="n">
        <f aca="false">$B$260*(1+$B$261/100)^(E270-2024)</f>
        <v>30408870.8740756</v>
      </c>
      <c r="F271" s="14" t="n">
        <f aca="false">$B$260*(1+$B$261/100)^(F270-2024)</f>
        <v>31246249.5910242</v>
      </c>
      <c r="G271" s="14" t="n">
        <f aca="false">$B$260*(1+$B$261/100)^(G270-2024)</f>
        <v>32106687.4711525</v>
      </c>
      <c r="H271" s="14" t="n">
        <f aca="false">$B$260*(1+$B$261/100)^(H270-2024)</f>
        <v>32990819.5019469</v>
      </c>
      <c r="I271" s="14" t="n">
        <f aca="false">$B$260*(1+$B$261/100)^(I270-2024)</f>
        <v>33899298.1567454</v>
      </c>
      <c r="J271" s="14" t="n">
        <f aca="false">$B$260*(1+$B$261/100)^(J270-2024)</f>
        <v>34832793.8762511</v>
      </c>
      <c r="K271" s="14" t="n">
        <f aca="false">$B$260*(1+$B$261/100)^(K270-2024)</f>
        <v>35791995.5633053</v>
      </c>
      <c r="L271" s="14" t="n">
        <f aca="false">$B$260*(1+$B$261/100)^(L270-2024)</f>
        <v>36777611.0912853</v>
      </c>
    </row>
    <row r="272" customFormat="false" ht="15" hidden="false" customHeight="false" outlineLevel="0" collapsed="false">
      <c r="A272" s="5" t="s">
        <v>386</v>
      </c>
      <c r="D272" s="13" t="n">
        <f aca="false">MIN(1/(1+EXP(-($B$263+$B$264*(D270-2024)))),MAX(Inputs!$D$9,$B$262))</f>
        <v>0.732993017382162</v>
      </c>
      <c r="E272" s="13" t="n">
        <f aca="false">MIN(1/(1+EXP(-($B$263+$B$264*(E270-2024)))),MAX(Inputs!$D$9,$B$262))</f>
        <v>0.750114846337219</v>
      </c>
      <c r="F272" s="13" t="n">
        <f aca="false">MIN(1/(1+EXP(-($B$263+$B$264*(F270-2024)))),MAX(Inputs!$D$9,$B$262))</f>
        <v>0.766488510471631</v>
      </c>
      <c r="G272" s="13" t="n">
        <f aca="false">MIN(1/(1+EXP(-($B$263+$B$264*(G270-2024)))),MAX(Inputs!$D$9,$B$262))</f>
        <v>0.782100952656624</v>
      </c>
      <c r="H272" s="13" t="n">
        <f aca="false">MIN(1/(1+EXP(-($B$263+$B$264*(H270-2024)))),MAX(Inputs!$D$9,$B$262))</f>
        <v>0.796946084075566</v>
      </c>
      <c r="I272" s="13" t="n">
        <f aca="false">MIN(1/(1+EXP(-($B$263+$B$264*(I270-2024)))),MAX(Inputs!$D$9,$B$262))</f>
        <v>0.811024213844</v>
      </c>
      <c r="J272" s="13" t="n">
        <f aca="false">MIN(1/(1+EXP(-($B$263+$B$264*(J270-2024)))),MAX(Inputs!$D$9,$B$262))</f>
        <v>0.824341417942771</v>
      </c>
      <c r="K272" s="13" t="n">
        <f aca="false">MIN(1/(1+EXP(-($B$263+$B$264*(K270-2024)))),MAX(Inputs!$D$9,$B$262))</f>
        <v>0.836908872364085</v>
      </c>
      <c r="L272" s="13" t="n">
        <f aca="false">MIN(1/(1+EXP(-($B$263+$B$264*(L270-2024)))),MAX(Inputs!$D$9,$B$262))</f>
        <v>0.848742172823324</v>
      </c>
    </row>
    <row r="273" customFormat="false" ht="15" hidden="false" customHeight="false" outlineLevel="0" collapsed="false">
      <c r="A273" s="5" t="s">
        <v>387</v>
      </c>
      <c r="D273" s="14" t="n">
        <f aca="false">D271*$B$262</f>
        <v>20046425.9992097</v>
      </c>
      <c r="E273" s="14" t="n">
        <f aca="false">E271*$B$262</f>
        <v>20598450.7867177</v>
      </c>
      <c r="F273" s="14" t="n">
        <f aca="false">F271*$B$262</f>
        <v>21165676.8557927</v>
      </c>
      <c r="G273" s="14" t="n">
        <f aca="false">G271*$B$262</f>
        <v>21748522.8089438</v>
      </c>
      <c r="H273" s="14" t="n">
        <f aca="false">H271*$B$262</f>
        <v>22347418.7758705</v>
      </c>
      <c r="I273" s="14" t="n">
        <f aca="false">I271*$B$262</f>
        <v>22962806.73089</v>
      </c>
      <c r="J273" s="14" t="n">
        <f aca="false">J271*$B$262</f>
        <v>23595140.8191065</v>
      </c>
      <c r="K273" s="14" t="n">
        <f aca="false">K271*$B$262</f>
        <v>24244887.6915616</v>
      </c>
      <c r="L273" s="14" t="n">
        <f aca="false">L271*$B$262</f>
        <v>24912526.849615</v>
      </c>
    </row>
    <row r="274" customFormat="false" ht="15" hidden="false" customHeight="false" outlineLevel="0" collapsed="false">
      <c r="A274" s="5" t="s">
        <v>388</v>
      </c>
      <c r="D274" s="14" t="n">
        <f aca="false">MAX(0,D271*D272-D273)</f>
        <v>1645720.50325967</v>
      </c>
      <c r="E274" s="14" t="n">
        <f aca="false">MAX(0,E271*E272-E273)</f>
        <v>2211694.71627785</v>
      </c>
      <c r="F274" s="14" t="n">
        <f aca="false">MAX(0,F271*F272-F273)</f>
        <v>2784214.45105628</v>
      </c>
      <c r="G274" s="14" t="n">
        <f aca="false">MAX(0,G271*G272-G273)</f>
        <v>3362148.04889303</v>
      </c>
      <c r="H274" s="14" t="n">
        <f aca="false">MAX(0,H271*H272-H273)</f>
        <v>3944485.63664987</v>
      </c>
      <c r="I274" s="14" t="n">
        <f aca="false">MAX(0,I271*I272-I273)</f>
        <v>4530344.90654773</v>
      </c>
      <c r="J274" s="14" t="n">
        <f aca="false">MAX(0,J271*J272-J273)</f>
        <v>5118973.87575059</v>
      </c>
      <c r="K274" s="14" t="n">
        <f aca="false">MAX(0,K271*K272-K273)</f>
        <v>5709750.95498452</v>
      </c>
      <c r="L274" s="14" t="n">
        <f aca="false">MAX(0,L271*L272-L273)</f>
        <v>6302182.69925368</v>
      </c>
    </row>
    <row r="275" customFormat="false" ht="15" hidden="false" customHeight="false" outlineLevel="0" collapsed="false">
      <c r="A275" s="5" t="s">
        <v>389</v>
      </c>
      <c r="D275" s="47" t="n">
        <f aca="false">Inputs!$D$41</f>
        <v>0.1</v>
      </c>
      <c r="E275" s="47" t="n">
        <f aca="false">Inputs!$D$42</f>
        <v>0.35</v>
      </c>
      <c r="F275" s="47" t="n">
        <f aca="false">Inputs!$D$43</f>
        <v>0.65</v>
      </c>
      <c r="G275" s="47" t="n">
        <f aca="false">Inputs!$D$44</f>
        <v>1</v>
      </c>
      <c r="H275" s="47" t="n">
        <f aca="false">Inputs!$D$44</f>
        <v>1</v>
      </c>
      <c r="I275" s="47" t="n">
        <f aca="false">Inputs!$D$44</f>
        <v>1</v>
      </c>
      <c r="J275" s="47" t="n">
        <f aca="false">Inputs!$D$44</f>
        <v>1</v>
      </c>
      <c r="K275" s="47" t="n">
        <f aca="false">Inputs!$D$44</f>
        <v>1</v>
      </c>
      <c r="L275" s="47" t="n">
        <f aca="false">Inputs!$D$44</f>
        <v>1</v>
      </c>
    </row>
    <row r="276" customFormat="false" ht="15" hidden="false" customHeight="false" outlineLevel="0" collapsed="false">
      <c r="A276" s="5" t="s">
        <v>390</v>
      </c>
      <c r="C276" s="14" t="n">
        <v>0</v>
      </c>
      <c r="D276" s="14" t="n">
        <f aca="false">D275*($B$268*D273+$B$269*D274)</f>
        <v>43235.4030248918</v>
      </c>
      <c r="E276" s="14" t="n">
        <f aca="false">E275*($B$268*E273+$B$269*E274)</f>
        <v>170069.318686048</v>
      </c>
      <c r="F276" s="14" t="n">
        <f aca="false">F275*($B$268*F273+$B$269*F274)</f>
        <v>351144.500798905</v>
      </c>
      <c r="G276" s="14" t="n">
        <f aca="false">G275*($B$268*G273+$B$269*G274)</f>
        <v>595199.6860456</v>
      </c>
      <c r="H276" s="14" t="n">
        <f aca="false">H275*($B$268*H273+$B$269*H274)</f>
        <v>650770.132570047</v>
      </c>
      <c r="I276" s="14" t="n">
        <f aca="false">I275*($B$268*I273+$B$269*I274)</f>
        <v>706869.693487169</v>
      </c>
      <c r="J276" s="14" t="n">
        <f aca="false">J275*($B$268*J273+$B$269*J274)</f>
        <v>763445.022346644</v>
      </c>
      <c r="K276" s="14" t="n">
        <f aca="false">K275*($B$268*K273+$B$269*K274)</f>
        <v>820453.391772186</v>
      </c>
      <c r="L276" s="14" t="n">
        <f aca="false">L275*($B$268*L273+$B$269*L274)</f>
        <v>877862.518684519</v>
      </c>
    </row>
    <row r="277" customFormat="false" ht="15" hidden="false" customHeight="false" outlineLevel="0" collapsed="false">
      <c r="A277" s="5" t="s">
        <v>391</v>
      </c>
      <c r="D277" s="11" t="n">
        <f aca="false">D276*$B$265/1000000</f>
        <v>0.485031433001124</v>
      </c>
      <c r="E277" s="11" t="n">
        <f aca="false">E276*$B$265/1000000</f>
        <v>1.90790323625126</v>
      </c>
      <c r="F277" s="11" t="n">
        <f aca="false">F276*$B$265/1000000</f>
        <v>3.93927449490644</v>
      </c>
      <c r="G277" s="11" t="n">
        <f aca="false">G276*$B$265/1000000</f>
        <v>6.67717972880487</v>
      </c>
      <c r="H277" s="11" t="n">
        <f aca="false">H276*$B$265/1000000</f>
        <v>7.30059043911436</v>
      </c>
      <c r="I277" s="11" t="n">
        <f aca="false">I276*$B$265/1000000</f>
        <v>7.92993695883339</v>
      </c>
      <c r="J277" s="11" t="n">
        <f aca="false">J276*$B$265/1000000</f>
        <v>8.56462082689917</v>
      </c>
      <c r="K277" s="11" t="n">
        <f aca="false">K276*$B$265/1000000</f>
        <v>9.20416271111865</v>
      </c>
      <c r="L277" s="11" t="n">
        <f aca="false">L276*$B$265/1000000</f>
        <v>9.84820044745249</v>
      </c>
    </row>
    <row r="278" customFormat="false" ht="15" hidden="false" customHeight="false" outlineLevel="0" collapsed="false">
      <c r="A278" s="5" t="s">
        <v>392</v>
      </c>
      <c r="D278" s="11" t="n">
        <f aca="false">Inputs!$D$31*MAX(0,D276-C276)/1000000</f>
        <v>0.129706209074676</v>
      </c>
      <c r="E278" s="11" t="n">
        <f aca="false">Inputs!$D$31*MAX(0,E276-D276)/1000000</f>
        <v>0.380501746983468</v>
      </c>
      <c r="F278" s="11" t="n">
        <f aca="false">Inputs!$D$31*MAX(0,F276-E276)/1000000</f>
        <v>0.543225546338571</v>
      </c>
      <c r="G278" s="11" t="n">
        <f aca="false">Inputs!$D$31*MAX(0,G276-F276)/1000000</f>
        <v>0.732165555740085</v>
      </c>
      <c r="H278" s="11" t="n">
        <f aca="false">Inputs!$D$31*MAX(0,H276-G276)/1000000</f>
        <v>0.166711339573342</v>
      </c>
      <c r="I278" s="11" t="n">
        <f aca="false">Inputs!$D$31*MAX(0,I276-H276)/1000000</f>
        <v>0.168298682751365</v>
      </c>
      <c r="J278" s="11" t="n">
        <f aca="false">Inputs!$D$31*MAX(0,J276-I276)/1000000</f>
        <v>0.169725986578425</v>
      </c>
      <c r="K278" s="11" t="n">
        <f aca="false">Inputs!$D$31*MAX(0,K276-J276)/1000000</f>
        <v>0.171025108276626</v>
      </c>
      <c r="L278" s="11" t="n">
        <f aca="false">Inputs!$D$31*MAX(0,L276-K276)/1000000</f>
        <v>0.172227380737</v>
      </c>
    </row>
    <row r="279" customFormat="false" ht="15" hidden="false" customHeight="false" outlineLevel="0" collapsed="false">
      <c r="A279" s="5" t="s">
        <v>393</v>
      </c>
      <c r="D279" s="11" t="n">
        <f aca="false">Inputs!$D$30*$B$266</f>
        <v>13.5860497519647</v>
      </c>
      <c r="E279" s="11" t="n">
        <f aca="false">Inputs!$D$30*$B$266</f>
        <v>13.5860497519647</v>
      </c>
      <c r="F279" s="11" t="n">
        <f aca="false">Inputs!$D$30*$B$266</f>
        <v>13.5860497519647</v>
      </c>
      <c r="G279" s="11" t="n">
        <f aca="false">Inputs!$D$30*$B$266</f>
        <v>13.5860497519647</v>
      </c>
      <c r="H279" s="11" t="n">
        <f aca="false">Inputs!$D$30*$B$266</f>
        <v>13.5860497519647</v>
      </c>
      <c r="I279" s="11" t="n">
        <f aca="false">Inputs!$D$30*$B$266</f>
        <v>13.5860497519647</v>
      </c>
      <c r="J279" s="11" t="n">
        <f aca="false">Inputs!$D$30*$B$266</f>
        <v>13.5860497519647</v>
      </c>
      <c r="K279" s="11" t="n">
        <f aca="false">Inputs!$D$30*$B$266</f>
        <v>13.5860497519647</v>
      </c>
      <c r="L279" s="11" t="n">
        <f aca="false">Inputs!$D$30*$B$266</f>
        <v>13.5860497519647</v>
      </c>
    </row>
    <row r="280" customFormat="false" ht="15" hidden="false" customHeight="false" outlineLevel="0" collapsed="false">
      <c r="A280" s="5" t="s">
        <v>394</v>
      </c>
      <c r="D280" s="11" t="n">
        <f aca="false">D277*Inputs!$D$29-D278</f>
        <v>0.112809507425887</v>
      </c>
      <c r="E280" s="11" t="n">
        <f aca="false">E277*Inputs!$D$29-E278</f>
        <v>0.573449871142162</v>
      </c>
      <c r="F280" s="11" t="n">
        <f aca="false">F277*Inputs!$D$29-F278</f>
        <v>1.42641170111465</v>
      </c>
      <c r="G280" s="11" t="n">
        <f aca="false">G277*Inputs!$D$29-G278</f>
        <v>2.60642430866235</v>
      </c>
      <c r="H280" s="11" t="n">
        <f aca="false">H277*Inputs!$D$29-H278</f>
        <v>3.48358387998384</v>
      </c>
      <c r="I280" s="11" t="n">
        <f aca="false">I277*Inputs!$D$29-I278</f>
        <v>3.79666979666533</v>
      </c>
      <c r="J280" s="11" t="n">
        <f aca="false">J277*Inputs!$D$29-J278</f>
        <v>4.11258442687116</v>
      </c>
      <c r="K280" s="11" t="n">
        <f aca="false">K277*Inputs!$D$29-K278</f>
        <v>4.4310562472827</v>
      </c>
      <c r="L280" s="11" t="n">
        <f aca="false">L277*Inputs!$D$29-L278</f>
        <v>4.75187284298925</v>
      </c>
    </row>
    <row r="281" customFormat="false" ht="15" hidden="false" customHeight="false" outlineLevel="0" collapsed="false">
      <c r="A281" s="5" t="s">
        <v>395</v>
      </c>
      <c r="D281" s="11" t="n">
        <f aca="false">D280-D279</f>
        <v>-13.4732402445389</v>
      </c>
      <c r="E281" s="11" t="n">
        <f aca="false">E280-E279</f>
        <v>-13.0125998808226</v>
      </c>
      <c r="F281" s="11" t="n">
        <f aca="false">F280-F279</f>
        <v>-12.1596380508501</v>
      </c>
      <c r="G281" s="11" t="n">
        <f aca="false">G280-G279</f>
        <v>-10.9796254433024</v>
      </c>
      <c r="H281" s="11" t="n">
        <f aca="false">H280-H279</f>
        <v>-10.1024658719809</v>
      </c>
      <c r="I281" s="11" t="n">
        <f aca="false">I280-I279</f>
        <v>-9.78937995529941</v>
      </c>
      <c r="J281" s="11" t="n">
        <f aca="false">J280-J279</f>
        <v>-9.47346532509359</v>
      </c>
      <c r="K281" s="11" t="n">
        <f aca="false">K280-K279</f>
        <v>-9.15499350468204</v>
      </c>
      <c r="L281" s="11" t="n">
        <f aca="false">L280-L279</f>
        <v>-8.8341769089755</v>
      </c>
    </row>
    <row r="282" customFormat="false" ht="15" hidden="false" customHeight="false" outlineLevel="0" collapsed="false">
      <c r="A282" s="5" t="s">
        <v>396</v>
      </c>
      <c r="D282" s="48" t="n">
        <f aca="false">1/(1+$B$267)^(D270-2026)</f>
        <v>0.887176815066836</v>
      </c>
      <c r="E282" s="48" t="n">
        <f aca="false">1/(1+$B$267)^(E270-2026)</f>
        <v>0.787082701192134</v>
      </c>
      <c r="F282" s="48" t="n">
        <f aca="false">1/(1+$B$267)^(F270-2026)</f>
        <v>0.69828152403784</v>
      </c>
      <c r="G282" s="48" t="n">
        <f aca="false">1/(1+$B$267)^(G270-2026)</f>
        <v>0.619499178515906</v>
      </c>
      <c r="H282" s="48" t="n">
        <f aca="false">1/(1+$B$267)^(H270-2026)</f>
        <v>0.549605308132263</v>
      </c>
      <c r="I282" s="48" t="n">
        <f aca="false">1/(1+$B$267)^(I270-2026)</f>
        <v>0.487597086812608</v>
      </c>
      <c r="J282" s="48" t="n">
        <f aca="false">1/(1+$B$267)^(J270-2026)</f>
        <v>0.432584830514277</v>
      </c>
      <c r="K282" s="48" t="n">
        <f aca="false">1/(1+$B$267)^(K270-2026)</f>
        <v>0.383779232181883</v>
      </c>
      <c r="L282" s="48" t="n">
        <f aca="false">1/(1+$B$267)^(L270-2026)</f>
        <v>0.340480036895918</v>
      </c>
    </row>
    <row r="283" customFormat="false" ht="15" hidden="false" customHeight="false" outlineLevel="0" collapsed="false">
      <c r="A283" s="5" t="s">
        <v>397</v>
      </c>
      <c r="D283" s="11" t="n">
        <f aca="false">D281*D282</f>
        <v>-11.9531463687803</v>
      </c>
      <c r="E283" s="11" t="n">
        <f aca="false">E281*E282</f>
        <v>-10.2419922637303</v>
      </c>
      <c r="F283" s="11" t="n">
        <f aca="false">F281*F282</f>
        <v>-8.49085058989611</v>
      </c>
      <c r="G283" s="11" t="n">
        <f aca="false">G281*G282</f>
        <v>-6.80186894253818</v>
      </c>
      <c r="H283" s="11" t="n">
        <f aca="false">H281*H282</f>
        <v>-5.55236886846573</v>
      </c>
      <c r="I283" s="11" t="n">
        <f aca="false">I281*I282</f>
        <v>-4.77327314790573</v>
      </c>
      <c r="J283" s="11" t="n">
        <f aca="false">J281*J282</f>
        <v>-4.09807739203848</v>
      </c>
      <c r="K283" s="11" t="n">
        <f aca="false">K281*K282</f>
        <v>-3.513496377857</v>
      </c>
      <c r="L283" s="11" t="n">
        <f aca="false">L281*L282</f>
        <v>-3.00786087991305</v>
      </c>
    </row>
    <row r="284" customFormat="false" ht="15" hidden="false" customHeight="false" outlineLevel="0" collapsed="false">
      <c r="A284" s="5" t="s">
        <v>398</v>
      </c>
      <c r="C284" s="11" t="n">
        <f aca="false">-B287</f>
        <v>-22.6434162532746</v>
      </c>
      <c r="D284" s="11" t="n">
        <f aca="false">C284+D281</f>
        <v>-36.1166564978134</v>
      </c>
      <c r="E284" s="11" t="n">
        <f aca="false">D284+E281</f>
        <v>-49.129256378636</v>
      </c>
      <c r="F284" s="11" t="n">
        <f aca="false">E284+F281</f>
        <v>-61.2888944294861</v>
      </c>
      <c r="G284" s="11" t="n">
        <f aca="false">F284+G281</f>
        <v>-72.2685198727885</v>
      </c>
      <c r="H284" s="11" t="n">
        <f aca="false">G284+H281</f>
        <v>-82.3709857447694</v>
      </c>
      <c r="I284" s="11" t="n">
        <f aca="false">H284+I281</f>
        <v>-92.1603657000688</v>
      </c>
      <c r="J284" s="11" t="n">
        <f aca="false">I284+J281</f>
        <v>-101.633831025162</v>
      </c>
      <c r="K284" s="11" t="n">
        <f aca="false">J284+K281</f>
        <v>-110.788824529844</v>
      </c>
      <c r="L284" s="11" t="n">
        <f aca="false">K284+L281</f>
        <v>-119.62300143882</v>
      </c>
    </row>
    <row r="285" customFormat="false" ht="15" hidden="false" customHeight="false" outlineLevel="0" collapsed="false">
      <c r="A285" s="5" t="s">
        <v>399</v>
      </c>
      <c r="D285" s="16" t="str">
        <f aca="false">IF(D284&gt;=0,D270,"")</f>
        <v/>
      </c>
      <c r="E285" s="16" t="str">
        <f aca="false">IF(E284&gt;=0,E270,"")</f>
        <v/>
      </c>
      <c r="F285" s="16" t="str">
        <f aca="false">IF(F284&gt;=0,F270,"")</f>
        <v/>
      </c>
      <c r="G285" s="16" t="str">
        <f aca="false">IF(G284&gt;=0,G270,"")</f>
        <v/>
      </c>
      <c r="H285" s="16" t="str">
        <f aca="false">IF(H284&gt;=0,H270,"")</f>
        <v/>
      </c>
      <c r="I285" s="16" t="str">
        <f aca="false">IF(I284&gt;=0,I270,"")</f>
        <v/>
      </c>
      <c r="J285" s="16" t="str">
        <f aca="false">IF(J284&gt;=0,J270,"")</f>
        <v/>
      </c>
      <c r="K285" s="16" t="str">
        <f aca="false">IF(K284&gt;=0,K270,"")</f>
        <v/>
      </c>
      <c r="L285" s="16" t="str">
        <f aca="false">IF(L284&gt;=0,L270,"")</f>
        <v/>
      </c>
    </row>
    <row r="287" customFormat="false" ht="15" hidden="false" customHeight="false" outlineLevel="0" collapsed="false">
      <c r="A287" s="5" t="s">
        <v>400</v>
      </c>
      <c r="B287" s="11" t="n">
        <f aca="false">Inputs!$D$32*$B$266</f>
        <v>22.6434162532746</v>
      </c>
    </row>
    <row r="288" customFormat="false" ht="15" hidden="false" customHeight="false" outlineLevel="0" collapsed="false">
      <c r="A288" s="7" t="s">
        <v>401</v>
      </c>
      <c r="B288" s="12" t="n">
        <f aca="false">-B287+SUM(D283:L283)+Inputs!$D$33*L281*L282</f>
        <v>-96.1156554839647</v>
      </c>
    </row>
    <row r="289" customFormat="false" ht="15" hidden="false" customHeight="false" outlineLevel="0" collapsed="false">
      <c r="A289" s="5" t="s">
        <v>402</v>
      </c>
      <c r="B289" s="11" t="n">
        <f aca="false">-MIN(C284:L284)</f>
        <v>119.62300143882</v>
      </c>
    </row>
    <row r="290" customFormat="false" ht="15" hidden="false" customHeight="false" outlineLevel="0" collapsed="false">
      <c r="A290" s="5" t="s">
        <v>403</v>
      </c>
      <c r="B290" s="16" t="str">
        <f aca="false">IF(COUNT(C285:L285)=0,"none",MIN(C285:L285))</f>
        <v>none</v>
      </c>
    </row>
    <row r="291" customFormat="false" ht="15" hidden="false" customHeight="false" outlineLevel="0" collapsed="false">
      <c r="A291" s="5" t="s">
        <v>404</v>
      </c>
      <c r="B291" s="11" t="n">
        <f aca="false">SUMPRODUCT(D277:L277,D282:L282)+Inputs!$D$33*L277*L282</f>
        <v>44.0542591042307</v>
      </c>
    </row>
    <row r="292" customFormat="false" ht="15" hidden="false" customHeight="false" outlineLevel="0" collapsed="false">
      <c r="A292" s="5" t="s">
        <v>405</v>
      </c>
      <c r="B292" s="11" t="n">
        <f aca="false">SUMPRODUCT(D278:L278,D282:L282)+Inputs!$D$33*L278*L282</f>
        <v>1.91204307313991</v>
      </c>
    </row>
    <row r="293" customFormat="false" ht="15" hidden="false" customHeight="false" outlineLevel="0" collapsed="false">
      <c r="A293" s="5" t="s">
        <v>406</v>
      </c>
      <c r="B293" s="11" t="n">
        <f aca="false">B287+Inputs!$D$30*$B$266*(SUM(D282:L282)+Inputs!$D$33*L282)</f>
        <v>116.23074196294</v>
      </c>
    </row>
    <row r="294" customFormat="false" ht="15" hidden="false" customHeight="false" outlineLevel="0" collapsed="false">
      <c r="A294" s="5" t="s">
        <v>407</v>
      </c>
      <c r="B294" s="11" t="n">
        <f aca="false">Inputs!$D$29*B291-B292-B293</f>
        <v>-96.1156554839647</v>
      </c>
    </row>
    <row r="295" customFormat="false" ht="15" hidden="false" customHeight="false" outlineLevel="0" collapsed="false">
      <c r="A295" s="5" t="s">
        <v>408</v>
      </c>
      <c r="B295" s="49" t="n">
        <f aca="false">IF(Inputs!$D$29*B291-B292&gt;0,B293/(Inputs!$D$29*B291-B292),"n/a")</f>
        <v>5.7782869630924</v>
      </c>
    </row>
    <row r="296" customFormat="false" ht="15" hidden="false" customHeight="false" outlineLevel="0" collapsed="false">
      <c r="A296" s="5" t="s">
        <v>409</v>
      </c>
      <c r="B296" s="50" t="n">
        <f aca="false">ABS(B294-B288)</f>
        <v>0</v>
      </c>
    </row>
    <row r="298" customFormat="false" ht="15" hidden="false" customHeight="false" outlineLevel="0" collapsed="false">
      <c r="A298" s="3" t="s">
        <v>416</v>
      </c>
      <c r="B298" s="42" t="n">
        <f aca="false">MATCH(3,Scorecard!$AS$6:$AS$39,0)</f>
        <v>32</v>
      </c>
      <c r="C298" s="3"/>
      <c r="D298" s="3"/>
      <c r="E298" s="3"/>
      <c r="F298" s="3"/>
      <c r="G298" s="3"/>
      <c r="H298" s="3"/>
      <c r="I298" s="3"/>
      <c r="J298" s="3"/>
      <c r="K298" s="3"/>
      <c r="L298" s="3"/>
    </row>
    <row r="299" customFormat="false" ht="15" hidden="false" customHeight="false" outlineLevel="0" collapsed="false">
      <c r="A299" s="5" t="s">
        <v>36</v>
      </c>
      <c r="B299" s="34" t="str">
        <f aca="false">INDEX(Scorecard!$A$6:$A$39,$B$298)</f>
        <v>Uganda</v>
      </c>
      <c r="C299" s="34" t="str">
        <f aca="false">INDEX(Scorecard!$B$6:$B$39,$B$298)</f>
        <v>UGA</v>
      </c>
    </row>
    <row r="300" customFormat="false" ht="15" hidden="false" customHeight="false" outlineLevel="0" collapsed="false">
      <c r="A300" s="5" t="s">
        <v>191</v>
      </c>
      <c r="B300" s="40" t="n">
        <f aca="false">INDEX(Data!$D$6:$D$39,$B$298)</f>
        <v>27277834</v>
      </c>
    </row>
    <row r="301" customFormat="false" ht="15" hidden="false" customHeight="false" outlineLevel="0" collapsed="false">
      <c r="A301" s="5" t="s">
        <v>203</v>
      </c>
      <c r="B301" s="39" t="n">
        <f aca="false">INDEX(Data!$P$6:$P$39,$B$298)</f>
        <v>2.75373170025335</v>
      </c>
    </row>
    <row r="302" customFormat="false" ht="15" hidden="false" customHeight="false" outlineLevel="0" collapsed="false">
      <c r="A302" s="5" t="s">
        <v>379</v>
      </c>
      <c r="B302" s="36" t="n">
        <f aca="false">INDEX(Data!$E$6:$E$39,$B$298)</f>
        <v>0.677382954204934</v>
      </c>
    </row>
    <row r="303" customFormat="false" ht="15" hidden="false" customHeight="false" outlineLevel="0" collapsed="false">
      <c r="A303" s="5" t="s">
        <v>290</v>
      </c>
      <c r="B303" s="39" t="n">
        <f aca="false">INDEX(Forecast!$E$6:$E$39,$B$298)</f>
        <v>0.741770773418204</v>
      </c>
    </row>
    <row r="304" customFormat="false" ht="15" hidden="false" customHeight="false" outlineLevel="0" collapsed="false">
      <c r="A304" s="5" t="s">
        <v>380</v>
      </c>
      <c r="B304" s="43" t="n">
        <f aca="false">INDEX(Forecast!$F$6:$F$39,$B$298)*Inputs!$D$16</f>
        <v>0.17872706143761</v>
      </c>
    </row>
    <row r="305" customFormat="false" ht="15" hidden="false" customHeight="false" outlineLevel="0" collapsed="false">
      <c r="A305" s="5" t="s">
        <v>381</v>
      </c>
      <c r="B305" s="44" t="n">
        <f aca="false">INDEX(Pools!$I$6:$I$39,$B$298)</f>
        <v>18.6973097302488</v>
      </c>
    </row>
    <row r="306" customFormat="false" ht="15" hidden="false" customHeight="false" outlineLevel="0" collapsed="false">
      <c r="A306" s="5" t="s">
        <v>307</v>
      </c>
      <c r="B306" s="39" t="n">
        <f aca="false">INDEX(Pools!$G$6:$G$39,$B$298)</f>
        <v>1.13217081266373</v>
      </c>
    </row>
    <row r="307" customFormat="false" ht="15" hidden="false" customHeight="false" outlineLevel="0" collapsed="false">
      <c r="A307" s="5" t="s">
        <v>46</v>
      </c>
      <c r="B307" s="36" t="n">
        <f aca="false">INDEX(Scorecard!$AT$6:$AT$39,$B$298)</f>
        <v>0.1271710250055</v>
      </c>
    </row>
    <row r="308" customFormat="false" ht="15" hidden="false" customHeight="false" outlineLevel="0" collapsed="false">
      <c r="A308" s="5" t="s">
        <v>382</v>
      </c>
      <c r="B308" s="36" t="n">
        <f aca="false">Inputs!$D$19</f>
        <v>0.03</v>
      </c>
    </row>
    <row r="309" customFormat="false" ht="15" hidden="false" customHeight="false" outlineLevel="0" collapsed="false">
      <c r="A309" s="5" t="s">
        <v>383</v>
      </c>
      <c r="B309" s="36" t="n">
        <f aca="false">Inputs!$D$18</f>
        <v>0.15</v>
      </c>
    </row>
    <row r="310" customFormat="false" ht="15" hidden="false" customHeight="false" outlineLevel="0" collapsed="false">
      <c r="A310" s="45" t="s">
        <v>384</v>
      </c>
      <c r="B310" s="45"/>
      <c r="C310" s="46" t="n">
        <v>2026</v>
      </c>
      <c r="D310" s="46" t="n">
        <v>2027</v>
      </c>
      <c r="E310" s="46" t="n">
        <v>2028</v>
      </c>
      <c r="F310" s="46" t="n">
        <v>2029</v>
      </c>
      <c r="G310" s="46" t="n">
        <v>2030</v>
      </c>
      <c r="H310" s="46" t="n">
        <v>2031</v>
      </c>
      <c r="I310" s="46" t="n">
        <v>2032</v>
      </c>
      <c r="J310" s="46" t="n">
        <v>2033</v>
      </c>
      <c r="K310" s="46" t="n">
        <v>2034</v>
      </c>
      <c r="L310" s="46" t="n">
        <v>2035</v>
      </c>
    </row>
    <row r="311" customFormat="false" ht="15" hidden="false" customHeight="false" outlineLevel="0" collapsed="false">
      <c r="A311" s="5" t="s">
        <v>385</v>
      </c>
      <c r="D311" s="14" t="n">
        <f aca="false">$B$300*(1+$B$301/100)^(D310-2024)</f>
        <v>29593933.3500631</v>
      </c>
      <c r="E311" s="14" t="n">
        <f aca="false">$B$300*(1+$B$301/100)^(E310-2024)</f>
        <v>30408870.8740756</v>
      </c>
      <c r="F311" s="14" t="n">
        <f aca="false">$B$300*(1+$B$301/100)^(F310-2024)</f>
        <v>31246249.5910242</v>
      </c>
      <c r="G311" s="14" t="n">
        <f aca="false">$B$300*(1+$B$301/100)^(G310-2024)</f>
        <v>32106687.4711525</v>
      </c>
      <c r="H311" s="14" t="n">
        <f aca="false">$B$300*(1+$B$301/100)^(H310-2024)</f>
        <v>32990819.5019469</v>
      </c>
      <c r="I311" s="14" t="n">
        <f aca="false">$B$300*(1+$B$301/100)^(I310-2024)</f>
        <v>33899298.1567454</v>
      </c>
      <c r="J311" s="14" t="n">
        <f aca="false">$B$300*(1+$B$301/100)^(J310-2024)</f>
        <v>34832793.8762511</v>
      </c>
      <c r="K311" s="14" t="n">
        <f aca="false">$B$300*(1+$B$301/100)^(K310-2024)</f>
        <v>35791995.5633053</v>
      </c>
      <c r="L311" s="14" t="n">
        <f aca="false">$B$300*(1+$B$301/100)^(L310-2024)</f>
        <v>36777611.0912853</v>
      </c>
    </row>
    <row r="312" customFormat="false" ht="15" hidden="false" customHeight="false" outlineLevel="0" collapsed="false">
      <c r="A312" s="5" t="s">
        <v>386</v>
      </c>
      <c r="D312" s="13" t="n">
        <f aca="false">MIN(1/(1+EXP(-($B$303+$B$304*(D310-2024)))),MAX(Inputs!$D$9,$B$302))</f>
        <v>0.782100952656624</v>
      </c>
      <c r="E312" s="13" t="n">
        <f aca="false">MIN(1/(1+EXP(-($B$303+$B$304*(E310-2024)))),MAX(Inputs!$D$9,$B$302))</f>
        <v>0.811024213844</v>
      </c>
      <c r="F312" s="13" t="n">
        <f aca="false">MIN(1/(1+EXP(-($B$303+$B$304*(F310-2024)))),MAX(Inputs!$D$9,$B$302))</f>
        <v>0.836908872364085</v>
      </c>
      <c r="G312" s="13" t="n">
        <f aca="false">MIN(1/(1+EXP(-($B$303+$B$304*(G310-2024)))),MAX(Inputs!$D$9,$B$302))</f>
        <v>0.859860660305404</v>
      </c>
      <c r="H312" s="13" t="n">
        <f aca="false">MIN(1/(1+EXP(-($B$303+$B$304*(H310-2024)))),MAX(Inputs!$D$9,$B$302))</f>
        <v>0.880045404675865</v>
      </c>
      <c r="I312" s="13" t="n">
        <f aca="false">MIN(1/(1+EXP(-($B$303+$B$304*(I310-2024)))),MAX(Inputs!$D$9,$B$302))</f>
        <v>0.897668863938154</v>
      </c>
      <c r="J312" s="13" t="n">
        <f aca="false">MIN(1/(1+EXP(-($B$303+$B$304*(J310-2024)))),MAX(Inputs!$D$9,$B$302))</f>
        <v>0.912959208649287</v>
      </c>
      <c r="K312" s="13" t="n">
        <f aca="false">MIN(1/(1+EXP(-($B$303+$B$304*(K310-2024)))),MAX(Inputs!$D$9,$B$302))</f>
        <v>0.92</v>
      </c>
      <c r="L312" s="13" t="n">
        <f aca="false">MIN(1/(1+EXP(-($B$303+$B$304*(L310-2024)))),MAX(Inputs!$D$9,$B$302))</f>
        <v>0.92</v>
      </c>
    </row>
    <row r="313" customFormat="false" ht="15" hidden="false" customHeight="false" outlineLevel="0" collapsed="false">
      <c r="A313" s="5" t="s">
        <v>387</v>
      </c>
      <c r="D313" s="14" t="n">
        <f aca="false">D311*$B$302</f>
        <v>20046425.9992097</v>
      </c>
      <c r="E313" s="14" t="n">
        <f aca="false">E311*$B$302</f>
        <v>20598450.7867177</v>
      </c>
      <c r="F313" s="14" t="n">
        <f aca="false">F311*$B$302</f>
        <v>21165676.8557927</v>
      </c>
      <c r="G313" s="14" t="n">
        <f aca="false">G311*$B$302</f>
        <v>21748522.8089438</v>
      </c>
      <c r="H313" s="14" t="n">
        <f aca="false">H311*$B$302</f>
        <v>22347418.7758705</v>
      </c>
      <c r="I313" s="14" t="n">
        <f aca="false">I311*$B$302</f>
        <v>22962806.73089</v>
      </c>
      <c r="J313" s="14" t="n">
        <f aca="false">J311*$B$302</f>
        <v>23595140.8191065</v>
      </c>
      <c r="K313" s="14" t="n">
        <f aca="false">K311*$B$302</f>
        <v>24244887.6915616</v>
      </c>
      <c r="L313" s="14" t="n">
        <f aca="false">L311*$B$302</f>
        <v>24912526.849615</v>
      </c>
    </row>
    <row r="314" customFormat="false" ht="15" hidden="false" customHeight="false" outlineLevel="0" collapsed="false">
      <c r="A314" s="5" t="s">
        <v>388</v>
      </c>
      <c r="D314" s="14" t="n">
        <f aca="false">MAX(0,D311*D312-D313)</f>
        <v>3099017.46673132</v>
      </c>
      <c r="E314" s="14" t="n">
        <f aca="false">MAX(0,E311*E312-E313)</f>
        <v>4063879.80781319</v>
      </c>
      <c r="F314" s="14" t="n">
        <f aca="false">MAX(0,F311*F312-F313)</f>
        <v>4984586.65503812</v>
      </c>
      <c r="G314" s="14" t="n">
        <f aca="false">MAX(0,G311*G312-G313)</f>
        <v>5858754.68022061</v>
      </c>
      <c r="H314" s="14" t="n">
        <f aca="false">MAX(0,H311*H312-H313)</f>
        <v>6686000.32330872</v>
      </c>
      <c r="I314" s="14" t="n">
        <f aca="false">MAX(0,I311*I312-I313)</f>
        <v>7467537.73377633</v>
      </c>
      <c r="J314" s="14" t="n">
        <f aca="false">MAX(0,J311*J312-J313)</f>
        <v>8205779.11319941</v>
      </c>
      <c r="K314" s="14" t="n">
        <f aca="false">MAX(0,K311*K312-K313)</f>
        <v>8683748.22667924</v>
      </c>
      <c r="L314" s="14" t="n">
        <f aca="false">MAX(0,L311*L312-L313)</f>
        <v>8922875.35436749</v>
      </c>
    </row>
    <row r="315" customFormat="false" ht="15" hidden="false" customHeight="false" outlineLevel="0" collapsed="false">
      <c r="A315" s="5" t="s">
        <v>389</v>
      </c>
      <c r="D315" s="47" t="n">
        <f aca="false">Inputs!$D$41</f>
        <v>0.1</v>
      </c>
      <c r="E315" s="47" t="n">
        <f aca="false">Inputs!$D$42</f>
        <v>0.35</v>
      </c>
      <c r="F315" s="47" t="n">
        <f aca="false">Inputs!$D$43</f>
        <v>0.65</v>
      </c>
      <c r="G315" s="47" t="n">
        <f aca="false">Inputs!$D$44</f>
        <v>1</v>
      </c>
      <c r="H315" s="47" t="n">
        <f aca="false">Inputs!$D$44</f>
        <v>1</v>
      </c>
      <c r="I315" s="47" t="n">
        <f aca="false">Inputs!$D$44</f>
        <v>1</v>
      </c>
      <c r="J315" s="47" t="n">
        <f aca="false">Inputs!$D$44</f>
        <v>1</v>
      </c>
      <c r="K315" s="47" t="n">
        <f aca="false">Inputs!$D$44</f>
        <v>1</v>
      </c>
      <c r="L315" s="47" t="n">
        <f aca="false">Inputs!$D$44</f>
        <v>1</v>
      </c>
    </row>
    <row r="316" customFormat="false" ht="15" hidden="false" customHeight="false" outlineLevel="0" collapsed="false">
      <c r="A316" s="5" t="s">
        <v>390</v>
      </c>
      <c r="C316" s="14" t="n">
        <v>0</v>
      </c>
      <c r="D316" s="14" t="n">
        <f aca="false">D315*($B$308*D313+$B$309*D314)</f>
        <v>106624.539998599</v>
      </c>
      <c r="E316" s="14" t="n">
        <f aca="false">E315*($B$308*E313+$B$309*E314)</f>
        <v>429637.423170728</v>
      </c>
      <c r="F316" s="14" t="n">
        <f aca="false">F315*($B$308*F313+$B$309*F314)</f>
        <v>898727.897554173</v>
      </c>
      <c r="G316" s="14" t="n">
        <f aca="false">G315*($B$308*G313+$B$309*G314)</f>
        <v>1531268.88630141</v>
      </c>
      <c r="H316" s="14" t="n">
        <f aca="false">H315*($B$308*H313+$B$309*H314)</f>
        <v>1673322.61177242</v>
      </c>
      <c r="I316" s="14" t="n">
        <f aca="false">I315*($B$308*I313+$B$309*I314)</f>
        <v>1809014.86199315</v>
      </c>
      <c r="J316" s="14" t="n">
        <f aca="false">J315*($B$308*J313+$B$309*J314)</f>
        <v>1938721.09155311</v>
      </c>
      <c r="K316" s="14" t="n">
        <f aca="false">K315*($B$308*K313+$B$309*K314)</f>
        <v>2029908.86474873</v>
      </c>
      <c r="L316" s="14" t="n">
        <f aca="false">L315*($B$308*L313+$B$309*L314)</f>
        <v>2085807.10864357</v>
      </c>
    </row>
    <row r="317" customFormat="false" ht="15" hidden="false" customHeight="false" outlineLevel="0" collapsed="false">
      <c r="A317" s="5" t="s">
        <v>391</v>
      </c>
      <c r="D317" s="11" t="n">
        <f aca="false">D316*$B$305/1000000</f>
        <v>1.99359204919911</v>
      </c>
      <c r="E317" s="11" t="n">
        <f aca="false">E316*$B$305/1000000</f>
        <v>8.0330639727291</v>
      </c>
      <c r="F317" s="11" t="n">
        <f aca="false">F316*$B$305/1000000</f>
        <v>16.8037938637857</v>
      </c>
      <c r="G317" s="11" t="n">
        <f aca="false">G316*$B$305/1000000</f>
        <v>28.6306086474706</v>
      </c>
      <c r="H317" s="11" t="n">
        <f aca="false">H316*$B$305/1000000</f>
        <v>31.2866311509379</v>
      </c>
      <c r="I317" s="11" t="n">
        <f aca="false">I316*$B$305/1000000</f>
        <v>33.8237111813093</v>
      </c>
      <c r="J317" s="11" t="n">
        <f aca="false">J316*$B$305/1000000</f>
        <v>36.2488687293345</v>
      </c>
      <c r="K317" s="11" t="n">
        <f aca="false">K316*$B$305/1000000</f>
        <v>37.9538347683849</v>
      </c>
      <c r="L317" s="11" t="n">
        <f aca="false">L316*$B$305/1000000</f>
        <v>38.9989815478637</v>
      </c>
    </row>
    <row r="318" customFormat="false" ht="15" hidden="false" customHeight="false" outlineLevel="0" collapsed="false">
      <c r="A318" s="5" t="s">
        <v>392</v>
      </c>
      <c r="D318" s="11" t="n">
        <f aca="false">Inputs!$D$31*MAX(0,D316-C316)/1000000</f>
        <v>0.319873619995796</v>
      </c>
      <c r="E318" s="11" t="n">
        <f aca="false">Inputs!$D$31*MAX(0,E316-D316)/1000000</f>
        <v>0.969038649516389</v>
      </c>
      <c r="F318" s="11" t="n">
        <f aca="false">Inputs!$D$31*MAX(0,F316-E316)/1000000</f>
        <v>1.40727142315033</v>
      </c>
      <c r="G318" s="11" t="n">
        <f aca="false">Inputs!$D$31*MAX(0,G316-F316)/1000000</f>
        <v>1.8976229662417</v>
      </c>
      <c r="H318" s="11" t="n">
        <f aca="false">Inputs!$D$31*MAX(0,H316-G316)/1000000</f>
        <v>0.426161176413054</v>
      </c>
      <c r="I318" s="11" t="n">
        <f aca="false">Inputs!$D$31*MAX(0,I316-H316)/1000000</f>
        <v>0.407076750662181</v>
      </c>
      <c r="J318" s="11" t="n">
        <f aca="false">Inputs!$D$31*MAX(0,J316-I316)/1000000</f>
        <v>0.389118688679864</v>
      </c>
      <c r="K318" s="11" t="n">
        <f aca="false">Inputs!$D$31*MAX(0,K316-J316)/1000000</f>
        <v>0.273563319586888</v>
      </c>
      <c r="L318" s="11" t="n">
        <f aca="false">Inputs!$D$31*MAX(0,L316-K316)/1000000</f>
        <v>0.167694731684515</v>
      </c>
    </row>
    <row r="319" customFormat="false" ht="15" hidden="false" customHeight="false" outlineLevel="0" collapsed="false">
      <c r="A319" s="5" t="s">
        <v>393</v>
      </c>
      <c r="D319" s="11" t="n">
        <f aca="false">Inputs!$D$30*$B$306</f>
        <v>13.5860497519647</v>
      </c>
      <c r="E319" s="11" t="n">
        <f aca="false">Inputs!$D$30*$B$306</f>
        <v>13.5860497519647</v>
      </c>
      <c r="F319" s="11" t="n">
        <f aca="false">Inputs!$D$30*$B$306</f>
        <v>13.5860497519647</v>
      </c>
      <c r="G319" s="11" t="n">
        <f aca="false">Inputs!$D$30*$B$306</f>
        <v>13.5860497519647</v>
      </c>
      <c r="H319" s="11" t="n">
        <f aca="false">Inputs!$D$30*$B$306</f>
        <v>13.5860497519647</v>
      </c>
      <c r="I319" s="11" t="n">
        <f aca="false">Inputs!$D$30*$B$306</f>
        <v>13.5860497519647</v>
      </c>
      <c r="J319" s="11" t="n">
        <f aca="false">Inputs!$D$30*$B$306</f>
        <v>13.5860497519647</v>
      </c>
      <c r="K319" s="11" t="n">
        <f aca="false">Inputs!$D$30*$B$306</f>
        <v>13.5860497519647</v>
      </c>
      <c r="L319" s="11" t="n">
        <f aca="false">Inputs!$D$30*$B$306</f>
        <v>13.5860497519647</v>
      </c>
    </row>
    <row r="320" customFormat="false" ht="15" hidden="false" customHeight="false" outlineLevel="0" collapsed="false">
      <c r="A320" s="5" t="s">
        <v>394</v>
      </c>
      <c r="D320" s="11" t="n">
        <f aca="false">D317*Inputs!$D$29-D318</f>
        <v>0.676922404603758</v>
      </c>
      <c r="E320" s="11" t="n">
        <f aca="false">E317*Inputs!$D$29-E318</f>
        <v>3.04749333684816</v>
      </c>
      <c r="F320" s="11" t="n">
        <f aca="false">F317*Inputs!$D$29-F318</f>
        <v>6.99462550874253</v>
      </c>
      <c r="G320" s="11" t="n">
        <f aca="false">G317*Inputs!$D$29-G318</f>
        <v>12.4176813574936</v>
      </c>
      <c r="H320" s="11" t="n">
        <f aca="false">H317*Inputs!$D$29-H318</f>
        <v>15.2171543990559</v>
      </c>
      <c r="I320" s="11" t="n">
        <f aca="false">I317*Inputs!$D$29-I318</f>
        <v>16.5047788399925</v>
      </c>
      <c r="J320" s="11" t="n">
        <f aca="false">J317*Inputs!$D$29-J318</f>
        <v>17.7353156759874</v>
      </c>
      <c r="K320" s="11" t="n">
        <f aca="false">K317*Inputs!$D$29-K318</f>
        <v>18.7033540646056</v>
      </c>
      <c r="L320" s="11" t="n">
        <f aca="false">L317*Inputs!$D$29-L318</f>
        <v>19.3317960422473</v>
      </c>
    </row>
    <row r="321" customFormat="false" ht="15" hidden="false" customHeight="false" outlineLevel="0" collapsed="false">
      <c r="A321" s="5" t="s">
        <v>395</v>
      </c>
      <c r="D321" s="11" t="n">
        <f aca="false">D320-D319</f>
        <v>-12.909127347361</v>
      </c>
      <c r="E321" s="11" t="n">
        <f aca="false">E320-E319</f>
        <v>-10.5385564151166</v>
      </c>
      <c r="F321" s="11" t="n">
        <f aca="false">F320-F319</f>
        <v>-6.59142424322222</v>
      </c>
      <c r="G321" s="11" t="n">
        <f aca="false">G320-G319</f>
        <v>-1.16836839447115</v>
      </c>
      <c r="H321" s="11" t="n">
        <f aca="false">H320-H319</f>
        <v>1.63110464709117</v>
      </c>
      <c r="I321" s="11" t="n">
        <f aca="false">I320-I319</f>
        <v>2.91872908802772</v>
      </c>
      <c r="J321" s="11" t="n">
        <f aca="false">J320-J319</f>
        <v>4.14926592402265</v>
      </c>
      <c r="K321" s="11" t="n">
        <f aca="false">K320-K319</f>
        <v>5.11730431264081</v>
      </c>
      <c r="L321" s="11" t="n">
        <f aca="false">L320-L319</f>
        <v>5.74574629028258</v>
      </c>
    </row>
    <row r="322" customFormat="false" ht="15" hidden="false" customHeight="false" outlineLevel="0" collapsed="false">
      <c r="A322" s="5" t="s">
        <v>396</v>
      </c>
      <c r="D322" s="48" t="n">
        <f aca="false">1/(1+$B$307)^(D310-2026)</f>
        <v>0.887176815066836</v>
      </c>
      <c r="E322" s="48" t="n">
        <f aca="false">1/(1+$B$307)^(E310-2026)</f>
        <v>0.787082701192134</v>
      </c>
      <c r="F322" s="48" t="n">
        <f aca="false">1/(1+$B$307)^(F310-2026)</f>
        <v>0.69828152403784</v>
      </c>
      <c r="G322" s="48" t="n">
        <f aca="false">1/(1+$B$307)^(G310-2026)</f>
        <v>0.619499178515906</v>
      </c>
      <c r="H322" s="48" t="n">
        <f aca="false">1/(1+$B$307)^(H310-2026)</f>
        <v>0.549605308132263</v>
      </c>
      <c r="I322" s="48" t="n">
        <f aca="false">1/(1+$B$307)^(I310-2026)</f>
        <v>0.487597086812608</v>
      </c>
      <c r="J322" s="48" t="n">
        <f aca="false">1/(1+$B$307)^(J310-2026)</f>
        <v>0.432584830514277</v>
      </c>
      <c r="K322" s="48" t="n">
        <f aca="false">1/(1+$B$307)^(K310-2026)</f>
        <v>0.383779232181883</v>
      </c>
      <c r="L322" s="48" t="n">
        <f aca="false">1/(1+$B$307)^(L310-2026)</f>
        <v>0.340480036895918</v>
      </c>
    </row>
    <row r="323" customFormat="false" ht="15" hidden="false" customHeight="false" outlineLevel="0" collapsed="false">
      <c r="A323" s="5" t="s">
        <v>397</v>
      </c>
      <c r="D323" s="11" t="n">
        <f aca="false">D321*D322</f>
        <v>-11.4526784853239</v>
      </c>
      <c r="E323" s="11" t="n">
        <f aca="false">E321*E322</f>
        <v>-8.29471544987566</v>
      </c>
      <c r="F323" s="11" t="n">
        <f aca="false">F321*F322</f>
        <v>-4.60266976613717</v>
      </c>
      <c r="G323" s="11" t="n">
        <f aca="false">G321*G322</f>
        <v>-0.723803260578827</v>
      </c>
      <c r="H323" s="11" t="n">
        <f aca="false">H321*H322</f>
        <v>0.89646377216051</v>
      </c>
      <c r="I323" s="11" t="n">
        <f aca="false">I321*I322</f>
        <v>1.42316380051754</v>
      </c>
      <c r="J323" s="11" t="n">
        <f aca="false">J321*J322</f>
        <v>1.794909496502</v>
      </c>
      <c r="K323" s="11" t="n">
        <f aca="false">K321*K322</f>
        <v>1.96391511994633</v>
      </c>
      <c r="L323" s="11" t="n">
        <f aca="false">L321*L322</f>
        <v>1.95631190891</v>
      </c>
    </row>
    <row r="324" customFormat="false" ht="15" hidden="false" customHeight="false" outlineLevel="0" collapsed="false">
      <c r="A324" s="5" t="s">
        <v>398</v>
      </c>
      <c r="C324" s="11" t="n">
        <f aca="false">-B327</f>
        <v>-22.6434162532746</v>
      </c>
      <c r="D324" s="11" t="n">
        <f aca="false">C324+D321</f>
        <v>-35.5525436006356</v>
      </c>
      <c r="E324" s="11" t="n">
        <f aca="false">D324+E321</f>
        <v>-46.0911000157521</v>
      </c>
      <c r="F324" s="11" t="n">
        <f aca="false">E324+F321</f>
        <v>-52.6825242589744</v>
      </c>
      <c r="G324" s="11" t="n">
        <f aca="false">F324+G321</f>
        <v>-53.8508926534455</v>
      </c>
      <c r="H324" s="11" t="n">
        <f aca="false">G324+H321</f>
        <v>-52.2197880063543</v>
      </c>
      <c r="I324" s="11" t="n">
        <f aca="false">H324+I321</f>
        <v>-49.3010589183266</v>
      </c>
      <c r="J324" s="11" t="n">
        <f aca="false">I324+J321</f>
        <v>-45.151792994304</v>
      </c>
      <c r="K324" s="11" t="n">
        <f aca="false">J324+K321</f>
        <v>-40.0344886816632</v>
      </c>
      <c r="L324" s="11" t="n">
        <f aca="false">K324+L321</f>
        <v>-34.2887423913806</v>
      </c>
    </row>
    <row r="325" customFormat="false" ht="15" hidden="false" customHeight="false" outlineLevel="0" collapsed="false">
      <c r="A325" s="5" t="s">
        <v>399</v>
      </c>
      <c r="D325" s="16" t="str">
        <f aca="false">IF(D324&gt;=0,D310,"")</f>
        <v/>
      </c>
      <c r="E325" s="16" t="str">
        <f aca="false">IF(E324&gt;=0,E310,"")</f>
        <v/>
      </c>
      <c r="F325" s="16" t="str">
        <f aca="false">IF(F324&gt;=0,F310,"")</f>
        <v/>
      </c>
      <c r="G325" s="16" t="str">
        <f aca="false">IF(G324&gt;=0,G310,"")</f>
        <v/>
      </c>
      <c r="H325" s="16" t="str">
        <f aca="false">IF(H324&gt;=0,H310,"")</f>
        <v/>
      </c>
      <c r="I325" s="16" t="str">
        <f aca="false">IF(I324&gt;=0,I310,"")</f>
        <v/>
      </c>
      <c r="J325" s="16" t="str">
        <f aca="false">IF(J324&gt;=0,J310,"")</f>
        <v/>
      </c>
      <c r="K325" s="16" t="str">
        <f aca="false">IF(K324&gt;=0,K310,"")</f>
        <v/>
      </c>
      <c r="L325" s="16" t="str">
        <f aca="false">IF(L324&gt;=0,L310,"")</f>
        <v/>
      </c>
    </row>
    <row r="327" customFormat="false" ht="15" hidden="false" customHeight="false" outlineLevel="0" collapsed="false">
      <c r="A327" s="5" t="s">
        <v>400</v>
      </c>
      <c r="B327" s="11" t="n">
        <f aca="false">Inputs!$D$32*$B$306</f>
        <v>22.6434162532746</v>
      </c>
    </row>
    <row r="328" customFormat="false" ht="15" hidden="false" customHeight="false" outlineLevel="0" collapsed="false">
      <c r="A328" s="7" t="s">
        <v>401</v>
      </c>
      <c r="B328" s="12" t="n">
        <f aca="false">-B327+SUM(D323:L323)+Inputs!$D$33*L321*L322</f>
        <v>-29.9009595726038</v>
      </c>
    </row>
    <row r="329" customFormat="false" ht="15" hidden="false" customHeight="false" outlineLevel="0" collapsed="false">
      <c r="A329" s="5" t="s">
        <v>402</v>
      </c>
      <c r="B329" s="11" t="n">
        <f aca="false">-MIN(C324:L324)</f>
        <v>53.8508926534455</v>
      </c>
    </row>
    <row r="330" customFormat="false" ht="15" hidden="false" customHeight="false" outlineLevel="0" collapsed="false">
      <c r="A330" s="5" t="s">
        <v>403</v>
      </c>
      <c r="B330" s="16" t="str">
        <f aca="false">IF(COUNT(C325:L325)=0,"none",MIN(C325:L325))</f>
        <v>none</v>
      </c>
    </row>
    <row r="331" customFormat="false" ht="15" hidden="false" customHeight="false" outlineLevel="0" collapsed="false">
      <c r="A331" s="5" t="s">
        <v>404</v>
      </c>
      <c r="B331" s="11" t="n">
        <f aca="false">SUMPRODUCT(D317:L317,D322:L322)+Inputs!$D$33*L317*L322</f>
        <v>181.166265612227</v>
      </c>
    </row>
    <row r="332" customFormat="false" ht="15" hidden="false" customHeight="false" outlineLevel="0" collapsed="false">
      <c r="A332" s="5" t="s">
        <v>405</v>
      </c>
      <c r="B332" s="11" t="n">
        <f aca="false">SUMPRODUCT(D318:L318,D322:L322)+Inputs!$D$33*L318*L322</f>
        <v>4.25335041577706</v>
      </c>
    </row>
    <row r="333" customFormat="false" ht="15" hidden="false" customHeight="false" outlineLevel="0" collapsed="false">
      <c r="A333" s="5" t="s">
        <v>406</v>
      </c>
      <c r="B333" s="11" t="n">
        <f aca="false">B327+Inputs!$D$30*$B$306*(SUM(D322:L322)+Inputs!$D$33*L322)</f>
        <v>116.23074196294</v>
      </c>
    </row>
    <row r="334" customFormat="false" ht="15" hidden="false" customHeight="false" outlineLevel="0" collapsed="false">
      <c r="A334" s="5" t="s">
        <v>407</v>
      </c>
      <c r="B334" s="11" t="n">
        <f aca="false">Inputs!$D$29*B331-B332-B333</f>
        <v>-29.9009595726038</v>
      </c>
    </row>
    <row r="335" customFormat="false" ht="15" hidden="false" customHeight="false" outlineLevel="0" collapsed="false">
      <c r="A335" s="5" t="s">
        <v>408</v>
      </c>
      <c r="B335" s="49" t="n">
        <f aca="false">IF(Inputs!$D$29*B331-B332&gt;0,B333/(Inputs!$D$29*B331-B332),"n/a")</f>
        <v>1.3463574069654</v>
      </c>
    </row>
    <row r="336" customFormat="false" ht="15" hidden="false" customHeight="false" outlineLevel="0" collapsed="false">
      <c r="A336" s="5" t="s">
        <v>409</v>
      </c>
      <c r="B336" s="50" t="n">
        <f aca="false">ABS(B334-B328)</f>
        <v>0</v>
      </c>
    </row>
    <row r="338" customFormat="false" ht="15" hidden="false" customHeight="false" outlineLevel="0" collapsed="false">
      <c r="A338" s="3" t="s">
        <v>417</v>
      </c>
      <c r="B338" s="42" t="n">
        <f aca="false">MATCH(3,Scorecard!$AS$6:$AS$39,0)</f>
        <v>32</v>
      </c>
      <c r="C338" s="3"/>
      <c r="D338" s="3"/>
      <c r="E338" s="3"/>
      <c r="F338" s="3"/>
      <c r="G338" s="3"/>
      <c r="H338" s="3"/>
      <c r="I338" s="3"/>
      <c r="J338" s="3"/>
      <c r="K338" s="3"/>
      <c r="L338" s="3"/>
    </row>
    <row r="339" customFormat="false" ht="15" hidden="false" customHeight="false" outlineLevel="0" collapsed="false">
      <c r="A339" s="5" t="s">
        <v>36</v>
      </c>
      <c r="B339" s="34" t="str">
        <f aca="false">INDEX(Scorecard!$A$6:$A$39,$B$338)</f>
        <v>Uganda</v>
      </c>
      <c r="C339" s="34" t="str">
        <f aca="false">INDEX(Scorecard!$B$6:$B$39,$B$338)</f>
        <v>UGA</v>
      </c>
    </row>
    <row r="340" customFormat="false" ht="15" hidden="false" customHeight="false" outlineLevel="0" collapsed="false">
      <c r="A340" s="5" t="s">
        <v>191</v>
      </c>
      <c r="B340" s="40" t="n">
        <f aca="false">INDEX(Data!$D$6:$D$39,$B$338)</f>
        <v>27277834</v>
      </c>
    </row>
    <row r="341" customFormat="false" ht="15" hidden="false" customHeight="false" outlineLevel="0" collapsed="false">
      <c r="A341" s="5" t="s">
        <v>203</v>
      </c>
      <c r="B341" s="39" t="n">
        <f aca="false">INDEX(Data!$P$6:$P$39,$B$338)</f>
        <v>2.75373170025335</v>
      </c>
    </row>
    <row r="342" customFormat="false" ht="15" hidden="false" customHeight="false" outlineLevel="0" collapsed="false">
      <c r="A342" s="5" t="s">
        <v>379</v>
      </c>
      <c r="B342" s="36" t="n">
        <f aca="false">INDEX(Data!$E$6:$E$39,$B$338)</f>
        <v>0.677382954204934</v>
      </c>
    </row>
    <row r="343" customFormat="false" ht="15" hidden="false" customHeight="false" outlineLevel="0" collapsed="false">
      <c r="A343" s="5" t="s">
        <v>290</v>
      </c>
      <c r="B343" s="39" t="n">
        <f aca="false">INDEX(Forecast!$E$6:$E$39,$B$338)</f>
        <v>0.741770773418204</v>
      </c>
    </row>
    <row r="344" customFormat="false" ht="15" hidden="false" customHeight="false" outlineLevel="0" collapsed="false">
      <c r="A344" s="5" t="s">
        <v>380</v>
      </c>
      <c r="B344" s="43" t="n">
        <f aca="false">INDEX(Forecast!$F$6:$F$39,$B$338)*Inputs!$E$16</f>
        <v>0.268090592156415</v>
      </c>
    </row>
    <row r="345" customFormat="false" ht="15" hidden="false" customHeight="false" outlineLevel="0" collapsed="false">
      <c r="A345" s="5" t="s">
        <v>381</v>
      </c>
      <c r="B345" s="44" t="n">
        <f aca="false">INDEX(Pools!$J$6:$J$39,$B$338)</f>
        <v>23.9325564547185</v>
      </c>
    </row>
    <row r="346" customFormat="false" ht="15" hidden="false" customHeight="false" outlineLevel="0" collapsed="false">
      <c r="A346" s="5" t="s">
        <v>307</v>
      </c>
      <c r="B346" s="39" t="n">
        <f aca="false">INDEX(Pools!$G$6:$G$39,$B$338)</f>
        <v>1.13217081266373</v>
      </c>
    </row>
    <row r="347" customFormat="false" ht="15" hidden="false" customHeight="false" outlineLevel="0" collapsed="false">
      <c r="A347" s="5" t="s">
        <v>46</v>
      </c>
      <c r="B347" s="36" t="n">
        <f aca="false">INDEX(Scorecard!$AT$6:$AT$39,$B$338)</f>
        <v>0.1271710250055</v>
      </c>
    </row>
    <row r="348" customFormat="false" ht="15" hidden="false" customHeight="false" outlineLevel="0" collapsed="false">
      <c r="A348" s="5" t="s">
        <v>382</v>
      </c>
      <c r="B348" s="36" t="n">
        <f aca="false">Inputs!$E$19</f>
        <v>0.05</v>
      </c>
    </row>
    <row r="349" customFormat="false" ht="15" hidden="false" customHeight="false" outlineLevel="0" collapsed="false">
      <c r="A349" s="5" t="s">
        <v>383</v>
      </c>
      <c r="B349" s="36" t="n">
        <f aca="false">Inputs!$E$18</f>
        <v>0.22</v>
      </c>
    </row>
    <row r="350" customFormat="false" ht="15" hidden="false" customHeight="false" outlineLevel="0" collapsed="false">
      <c r="A350" s="45" t="s">
        <v>384</v>
      </c>
      <c r="B350" s="45"/>
      <c r="C350" s="46" t="n">
        <v>2026</v>
      </c>
      <c r="D350" s="46" t="n">
        <v>2027</v>
      </c>
      <c r="E350" s="46" t="n">
        <v>2028</v>
      </c>
      <c r="F350" s="46" t="n">
        <v>2029</v>
      </c>
      <c r="G350" s="46" t="n">
        <v>2030</v>
      </c>
      <c r="H350" s="46" t="n">
        <v>2031</v>
      </c>
      <c r="I350" s="46" t="n">
        <v>2032</v>
      </c>
      <c r="J350" s="46" t="n">
        <v>2033</v>
      </c>
      <c r="K350" s="46" t="n">
        <v>2034</v>
      </c>
      <c r="L350" s="46" t="n">
        <v>2035</v>
      </c>
    </row>
    <row r="351" customFormat="false" ht="15" hidden="false" customHeight="false" outlineLevel="0" collapsed="false">
      <c r="A351" s="5" t="s">
        <v>385</v>
      </c>
      <c r="D351" s="14" t="n">
        <f aca="false">$B$340*(1+$B$341/100)^(D350-2024)</f>
        <v>29593933.3500631</v>
      </c>
      <c r="E351" s="14" t="n">
        <f aca="false">$B$340*(1+$B$341/100)^(E350-2024)</f>
        <v>30408870.8740756</v>
      </c>
      <c r="F351" s="14" t="n">
        <f aca="false">$B$340*(1+$B$341/100)^(F350-2024)</f>
        <v>31246249.5910242</v>
      </c>
      <c r="G351" s="14" t="n">
        <f aca="false">$B$340*(1+$B$341/100)^(G350-2024)</f>
        <v>32106687.4711525</v>
      </c>
      <c r="H351" s="14" t="n">
        <f aca="false">$B$340*(1+$B$341/100)^(H350-2024)</f>
        <v>32990819.5019469</v>
      </c>
      <c r="I351" s="14" t="n">
        <f aca="false">$B$340*(1+$B$341/100)^(I350-2024)</f>
        <v>33899298.1567454</v>
      </c>
      <c r="J351" s="14" t="n">
        <f aca="false">$B$340*(1+$B$341/100)^(J350-2024)</f>
        <v>34832793.8762511</v>
      </c>
      <c r="K351" s="14" t="n">
        <f aca="false">$B$340*(1+$B$341/100)^(K350-2024)</f>
        <v>35791995.5633053</v>
      </c>
      <c r="L351" s="14" t="n">
        <f aca="false">$B$340*(1+$B$341/100)^(L350-2024)</f>
        <v>36777611.0912853</v>
      </c>
    </row>
    <row r="352" customFormat="false" ht="15" hidden="false" customHeight="false" outlineLevel="0" collapsed="false">
      <c r="A352" s="5" t="s">
        <v>386</v>
      </c>
      <c r="D352" s="13" t="n">
        <f aca="false">MIN(1/(1+EXP(-($B$343+$B$344*(D350-2024)))),MAX(Inputs!$D$9,$B$342))</f>
        <v>0.824341417942771</v>
      </c>
      <c r="E352" s="13" t="n">
        <f aca="false">MIN(1/(1+EXP(-($B$343+$B$344*(E350-2024)))),MAX(Inputs!$D$9,$B$342))</f>
        <v>0.859860660305404</v>
      </c>
      <c r="F352" s="13" t="n">
        <f aca="false">MIN(1/(1+EXP(-($B$343+$B$344*(F350-2024)))),MAX(Inputs!$D$9,$B$342))</f>
        <v>0.889163376173001</v>
      </c>
      <c r="G352" s="13" t="n">
        <f aca="false">MIN(1/(1+EXP(-($B$343+$B$344*(G350-2024)))),MAX(Inputs!$D$9,$B$342))</f>
        <v>0.912959208649287</v>
      </c>
      <c r="H352" s="13" t="n">
        <f aca="false">MIN(1/(1+EXP(-($B$343+$B$344*(H350-2024)))),MAX(Inputs!$D$9,$B$342))</f>
        <v>0.92</v>
      </c>
      <c r="I352" s="13" t="n">
        <f aca="false">MIN(1/(1+EXP(-($B$343+$B$344*(I350-2024)))),MAX(Inputs!$D$9,$B$342))</f>
        <v>0.92</v>
      </c>
      <c r="J352" s="13" t="n">
        <f aca="false">MIN(1/(1+EXP(-($B$343+$B$344*(J350-2024)))),MAX(Inputs!$D$9,$B$342))</f>
        <v>0.92</v>
      </c>
      <c r="K352" s="13" t="n">
        <f aca="false">MIN(1/(1+EXP(-($B$343+$B$344*(K350-2024)))),MAX(Inputs!$D$9,$B$342))</f>
        <v>0.92</v>
      </c>
      <c r="L352" s="13" t="n">
        <f aca="false">MIN(1/(1+EXP(-($B$343+$B$344*(L350-2024)))),MAX(Inputs!$D$9,$B$342))</f>
        <v>0.92</v>
      </c>
    </row>
    <row r="353" customFormat="false" ht="15" hidden="false" customHeight="false" outlineLevel="0" collapsed="false">
      <c r="A353" s="5" t="s">
        <v>387</v>
      </c>
      <c r="D353" s="14" t="n">
        <f aca="false">D351*$B$342</f>
        <v>20046425.9992097</v>
      </c>
      <c r="E353" s="14" t="n">
        <f aca="false">E351*$B$342</f>
        <v>20598450.7867177</v>
      </c>
      <c r="F353" s="14" t="n">
        <f aca="false">F351*$B$342</f>
        <v>21165676.8557927</v>
      </c>
      <c r="G353" s="14" t="n">
        <f aca="false">G351*$B$342</f>
        <v>21748522.8089438</v>
      </c>
      <c r="H353" s="14" t="n">
        <f aca="false">H351*$B$342</f>
        <v>22347418.7758705</v>
      </c>
      <c r="I353" s="14" t="n">
        <f aca="false">I351*$B$342</f>
        <v>22962806.73089</v>
      </c>
      <c r="J353" s="14" t="n">
        <f aca="false">J351*$B$342</f>
        <v>23595140.8191065</v>
      </c>
      <c r="K353" s="14" t="n">
        <f aca="false">K351*$B$342</f>
        <v>24244887.6915616</v>
      </c>
      <c r="L353" s="14" t="n">
        <f aca="false">L351*$B$342</f>
        <v>24912526.849615</v>
      </c>
    </row>
    <row r="354" customFormat="false" ht="15" hidden="false" customHeight="false" outlineLevel="0" collapsed="false">
      <c r="A354" s="5" t="s">
        <v>388</v>
      </c>
      <c r="D354" s="14" t="n">
        <f aca="false">MAX(0,D351*D352-D353)</f>
        <v>4349078.98108521</v>
      </c>
      <c r="E354" s="14" t="n">
        <f aca="false">MAX(0,E351*E352-E353)</f>
        <v>5548941.00220672</v>
      </c>
      <c r="F354" s="14" t="n">
        <f aca="false">MAX(0,F351*F352-F353)</f>
        <v>6617343.92330664</v>
      </c>
      <c r="G354" s="14" t="n">
        <f aca="false">MAX(0,G351*G352-G353)</f>
        <v>7563573.17706953</v>
      </c>
      <c r="H354" s="14" t="n">
        <f aca="false">MAX(0,H351*H352-H353)</f>
        <v>8004135.1659206</v>
      </c>
      <c r="I354" s="14" t="n">
        <f aca="false">MAX(0,I351*I352-I353)</f>
        <v>8224547.57331569</v>
      </c>
      <c r="J354" s="14" t="n">
        <f aca="false">MAX(0,J351*J352-J353)</f>
        <v>8451029.5470445</v>
      </c>
      <c r="K354" s="14" t="n">
        <f aca="false">MAX(0,K351*K352-K353)</f>
        <v>8683748.22667924</v>
      </c>
      <c r="L354" s="14" t="n">
        <f aca="false">MAX(0,L351*L352-L353)</f>
        <v>8922875.35436749</v>
      </c>
    </row>
    <row r="355" customFormat="false" ht="15" hidden="false" customHeight="false" outlineLevel="0" collapsed="false">
      <c r="A355" s="5" t="s">
        <v>389</v>
      </c>
      <c r="D355" s="47" t="n">
        <f aca="false">Inputs!$D$41</f>
        <v>0.1</v>
      </c>
      <c r="E355" s="47" t="n">
        <f aca="false">Inputs!$D$42</f>
        <v>0.35</v>
      </c>
      <c r="F355" s="47" t="n">
        <f aca="false">Inputs!$D$43</f>
        <v>0.65</v>
      </c>
      <c r="G355" s="47" t="n">
        <f aca="false">Inputs!$D$44</f>
        <v>1</v>
      </c>
      <c r="H355" s="47" t="n">
        <f aca="false">Inputs!$D$44</f>
        <v>1</v>
      </c>
      <c r="I355" s="47" t="n">
        <f aca="false">Inputs!$D$44</f>
        <v>1</v>
      </c>
      <c r="J355" s="47" t="n">
        <f aca="false">Inputs!$D$44</f>
        <v>1</v>
      </c>
      <c r="K355" s="47" t="n">
        <f aca="false">Inputs!$D$44</f>
        <v>1</v>
      </c>
      <c r="L355" s="47" t="n">
        <f aca="false">Inputs!$D$44</f>
        <v>1</v>
      </c>
    </row>
    <row r="356" customFormat="false" ht="15" hidden="false" customHeight="false" outlineLevel="0" collapsed="false">
      <c r="A356" s="5" t="s">
        <v>390</v>
      </c>
      <c r="C356" s="14" t="n">
        <v>0</v>
      </c>
      <c r="D356" s="14" t="n">
        <f aca="false">D355*($B$348*D353+$B$349*D354)</f>
        <v>195911.867579923</v>
      </c>
      <c r="E356" s="14" t="n">
        <f aca="false">E355*($B$348*E353+$B$349*E354)</f>
        <v>787741.345937478</v>
      </c>
      <c r="F356" s="14" t="n">
        <f aca="false">F355*($B$348*F353+$B$349*F354)</f>
        <v>1634164.67884611</v>
      </c>
      <c r="G356" s="14" t="n">
        <f aca="false">G355*($B$348*G353+$B$349*G354)</f>
        <v>2751412.23940249</v>
      </c>
      <c r="H356" s="14" t="n">
        <f aca="false">H355*($B$348*H353+$B$349*H354)</f>
        <v>2878280.67529606</v>
      </c>
      <c r="I356" s="14" t="n">
        <f aca="false">I355*($B$348*I353+$B$349*I354)</f>
        <v>2957540.80267395</v>
      </c>
      <c r="J356" s="14" t="n">
        <f aca="false">J355*($B$348*J353+$B$349*J354)</f>
        <v>3038983.54130511</v>
      </c>
      <c r="K356" s="14" t="n">
        <f aca="false">K355*($B$348*K353+$B$349*K354)</f>
        <v>3122668.99444751</v>
      </c>
      <c r="L356" s="14" t="n">
        <f aca="false">L355*($B$348*L353+$B$349*L354)</f>
        <v>3208658.9204416</v>
      </c>
    </row>
    <row r="357" customFormat="false" ht="15" hidden="false" customHeight="false" outlineLevel="0" collapsed="false">
      <c r="A357" s="5" t="s">
        <v>391</v>
      </c>
      <c r="D357" s="11" t="n">
        <f aca="false">D356*$B$345/1000000</f>
        <v>4.68867183100585</v>
      </c>
      <c r="E357" s="11" t="n">
        <f aca="false">E356*$B$345/1000000</f>
        <v>18.8526642333646</v>
      </c>
      <c r="F357" s="11" t="n">
        <f aca="false">F356*$B$345/1000000</f>
        <v>39.1097384327915</v>
      </c>
      <c r="G357" s="11" t="n">
        <f aca="false">G356*$B$345/1000000</f>
        <v>65.8483287497035</v>
      </c>
      <c r="H357" s="11" t="n">
        <f aca="false">H356*$B$345/1000000</f>
        <v>68.8846147540483</v>
      </c>
      <c r="I357" s="11" t="n">
        <f aca="false">I356*$B$345/1000000</f>
        <v>70.7815122271279</v>
      </c>
      <c r="J357" s="11" t="n">
        <f aca="false">J356*$B$345/1000000</f>
        <v>72.730645167245</v>
      </c>
      <c r="K357" s="11" t="n">
        <f aca="false">K356*$B$345/1000000</f>
        <v>74.7334519990142</v>
      </c>
      <c r="L357" s="11" t="n">
        <f aca="false">L356*$B$345/1000000</f>
        <v>76.7914107574047</v>
      </c>
    </row>
    <row r="358" customFormat="false" ht="15" hidden="false" customHeight="false" outlineLevel="0" collapsed="false">
      <c r="A358" s="5" t="s">
        <v>392</v>
      </c>
      <c r="D358" s="11" t="n">
        <f aca="false">Inputs!$D$31*MAX(0,D356-C356)/1000000</f>
        <v>0.587735602739769</v>
      </c>
      <c r="E358" s="11" t="n">
        <f aca="false">Inputs!$D$31*MAX(0,E356-D356)/1000000</f>
        <v>1.77548843507267</v>
      </c>
      <c r="F358" s="11" t="n">
        <f aca="false">Inputs!$D$31*MAX(0,F356-E356)/1000000</f>
        <v>2.5392699987259</v>
      </c>
      <c r="G358" s="11" t="n">
        <f aca="false">Inputs!$D$31*MAX(0,G356-F356)/1000000</f>
        <v>3.35174268166913</v>
      </c>
      <c r="H358" s="11" t="n">
        <f aca="false">Inputs!$D$31*MAX(0,H356-G356)/1000000</f>
        <v>0.380605307680713</v>
      </c>
      <c r="I358" s="11" t="n">
        <f aca="false">Inputs!$D$31*MAX(0,I356-H356)/1000000</f>
        <v>0.237780382133684</v>
      </c>
      <c r="J358" s="11" t="n">
        <f aca="false">Inputs!$D$31*MAX(0,J356-I356)/1000000</f>
        <v>0.244328215893477</v>
      </c>
      <c r="K358" s="11" t="n">
        <f aca="false">Inputs!$D$31*MAX(0,K356-J356)/1000000</f>
        <v>0.251056359427203</v>
      </c>
      <c r="L358" s="11" t="n">
        <f aca="false">Inputs!$D$31*MAX(0,L356-K356)/1000000</f>
        <v>0.25796977798225</v>
      </c>
    </row>
    <row r="359" customFormat="false" ht="15" hidden="false" customHeight="false" outlineLevel="0" collapsed="false">
      <c r="A359" s="5" t="s">
        <v>393</v>
      </c>
      <c r="D359" s="11" t="n">
        <f aca="false">Inputs!$D$30*$B$346</f>
        <v>13.5860497519647</v>
      </c>
      <c r="E359" s="11" t="n">
        <f aca="false">Inputs!$D$30*$B$346</f>
        <v>13.5860497519647</v>
      </c>
      <c r="F359" s="11" t="n">
        <f aca="false">Inputs!$D$30*$B$346</f>
        <v>13.5860497519647</v>
      </c>
      <c r="G359" s="11" t="n">
        <f aca="false">Inputs!$D$30*$B$346</f>
        <v>13.5860497519647</v>
      </c>
      <c r="H359" s="11" t="n">
        <f aca="false">Inputs!$D$30*$B$346</f>
        <v>13.5860497519647</v>
      </c>
      <c r="I359" s="11" t="n">
        <f aca="false">Inputs!$D$30*$B$346</f>
        <v>13.5860497519647</v>
      </c>
      <c r="J359" s="11" t="n">
        <f aca="false">Inputs!$D$30*$B$346</f>
        <v>13.5860497519647</v>
      </c>
      <c r="K359" s="11" t="n">
        <f aca="false">Inputs!$D$30*$B$346</f>
        <v>13.5860497519647</v>
      </c>
      <c r="L359" s="11" t="n">
        <f aca="false">Inputs!$D$30*$B$346</f>
        <v>13.5860497519647</v>
      </c>
    </row>
    <row r="360" customFormat="false" ht="15" hidden="false" customHeight="false" outlineLevel="0" collapsed="false">
      <c r="A360" s="5" t="s">
        <v>394</v>
      </c>
      <c r="D360" s="11" t="n">
        <f aca="false">D357*Inputs!$D$29-D358</f>
        <v>1.75660031276315</v>
      </c>
      <c r="E360" s="11" t="n">
        <f aca="false">E357*Inputs!$D$29-E358</f>
        <v>7.65084368160966</v>
      </c>
      <c r="F360" s="11" t="n">
        <f aca="false">F357*Inputs!$D$29-F358</f>
        <v>17.0155992176699</v>
      </c>
      <c r="G360" s="11" t="n">
        <f aca="false">G357*Inputs!$D$29-G358</f>
        <v>29.5724216931826</v>
      </c>
      <c r="H360" s="11" t="n">
        <f aca="false">H357*Inputs!$D$29-H358</f>
        <v>34.0617020693434</v>
      </c>
      <c r="I360" s="11" t="n">
        <f aca="false">I357*Inputs!$D$29-I358</f>
        <v>35.1529757314303</v>
      </c>
      <c r="J360" s="11" t="n">
        <f aca="false">J357*Inputs!$D$29-J358</f>
        <v>36.120994367729</v>
      </c>
      <c r="K360" s="11" t="n">
        <f aca="false">K357*Inputs!$D$29-K358</f>
        <v>37.1156696400799</v>
      </c>
      <c r="L360" s="11" t="n">
        <f aca="false">L357*Inputs!$D$29-L358</f>
        <v>38.1377356007201</v>
      </c>
    </row>
    <row r="361" customFormat="false" ht="15" hidden="false" customHeight="false" outlineLevel="0" collapsed="false">
      <c r="A361" s="5" t="s">
        <v>395</v>
      </c>
      <c r="D361" s="11" t="n">
        <f aca="false">D360-D359</f>
        <v>-11.8294494392016</v>
      </c>
      <c r="E361" s="11" t="n">
        <f aca="false">E360-E359</f>
        <v>-5.93520607035509</v>
      </c>
      <c r="F361" s="11" t="n">
        <f aca="false">F360-F359</f>
        <v>3.4295494657051</v>
      </c>
      <c r="G361" s="11" t="n">
        <f aca="false">G360-G359</f>
        <v>15.9863719412179</v>
      </c>
      <c r="H361" s="11" t="n">
        <f aca="false">H360-H359</f>
        <v>20.4756523173787</v>
      </c>
      <c r="I361" s="11" t="n">
        <f aca="false">I360-I359</f>
        <v>21.5669259794655</v>
      </c>
      <c r="J361" s="11" t="n">
        <f aca="false">J360-J359</f>
        <v>22.5349446157643</v>
      </c>
      <c r="K361" s="11" t="n">
        <f aca="false">K360-K359</f>
        <v>23.5296198881152</v>
      </c>
      <c r="L361" s="11" t="n">
        <f aca="false">L360-L359</f>
        <v>24.5516858487554</v>
      </c>
    </row>
    <row r="362" customFormat="false" ht="15" hidden="false" customHeight="false" outlineLevel="0" collapsed="false">
      <c r="A362" s="5" t="s">
        <v>396</v>
      </c>
      <c r="D362" s="48" t="n">
        <f aca="false">1/(1+$B$347)^(D350-2026)</f>
        <v>0.887176815066836</v>
      </c>
      <c r="E362" s="48" t="n">
        <f aca="false">1/(1+$B$347)^(E350-2026)</f>
        <v>0.787082701192134</v>
      </c>
      <c r="F362" s="48" t="n">
        <f aca="false">1/(1+$B$347)^(F350-2026)</f>
        <v>0.69828152403784</v>
      </c>
      <c r="G362" s="48" t="n">
        <f aca="false">1/(1+$B$347)^(G350-2026)</f>
        <v>0.619499178515906</v>
      </c>
      <c r="H362" s="48" t="n">
        <f aca="false">1/(1+$B$347)^(H350-2026)</f>
        <v>0.549605308132263</v>
      </c>
      <c r="I362" s="48" t="n">
        <f aca="false">1/(1+$B$347)^(I350-2026)</f>
        <v>0.487597086812608</v>
      </c>
      <c r="J362" s="48" t="n">
        <f aca="false">1/(1+$B$347)^(J350-2026)</f>
        <v>0.432584830514277</v>
      </c>
      <c r="K362" s="48" t="n">
        <f aca="false">1/(1+$B$347)^(K350-2026)</f>
        <v>0.383779232181883</v>
      </c>
      <c r="L362" s="48" t="n">
        <f aca="false">1/(1+$B$347)^(L350-2026)</f>
        <v>0.340480036895918</v>
      </c>
    </row>
    <row r="363" customFormat="false" ht="15" hidden="false" customHeight="false" outlineLevel="0" collapsed="false">
      <c r="A363" s="5" t="s">
        <v>397</v>
      </c>
      <c r="D363" s="11" t="n">
        <f aca="false">D361*D362</f>
        <v>-10.494813277465</v>
      </c>
      <c r="E363" s="11" t="n">
        <f aca="false">E361*E362</f>
        <v>-4.67149802598703</v>
      </c>
      <c r="F363" s="11" t="n">
        <f aca="false">F361*F362</f>
        <v>2.39479102767572</v>
      </c>
      <c r="G363" s="11" t="n">
        <f aca="false">G361*G362</f>
        <v>9.90354428503422</v>
      </c>
      <c r="H363" s="11" t="n">
        <f aca="false">H361*H362</f>
        <v>11.253527201102</v>
      </c>
      <c r="I363" s="11" t="n">
        <f aca="false">I361*I362</f>
        <v>10.5159702790905</v>
      </c>
      <c r="J363" s="11" t="n">
        <f aca="false">J361*J362</f>
        <v>9.748275197259</v>
      </c>
      <c r="K363" s="11" t="n">
        <f aca="false">K361*K362</f>
        <v>9.03017945419239</v>
      </c>
      <c r="L363" s="11" t="n">
        <f aca="false">L361*L362</f>
        <v>8.35935890364122</v>
      </c>
    </row>
    <row r="364" customFormat="false" ht="15" hidden="false" customHeight="false" outlineLevel="0" collapsed="false">
      <c r="A364" s="5" t="s">
        <v>398</v>
      </c>
      <c r="C364" s="11" t="n">
        <f aca="false">-B367</f>
        <v>-22.6434162532746</v>
      </c>
      <c r="D364" s="11" t="n">
        <f aca="false">C364+D361</f>
        <v>-34.4728656924762</v>
      </c>
      <c r="E364" s="11" t="n">
        <f aca="false">D364+E361</f>
        <v>-40.4080717628313</v>
      </c>
      <c r="F364" s="11" t="n">
        <f aca="false">E364+F361</f>
        <v>-36.9785222971262</v>
      </c>
      <c r="G364" s="11" t="n">
        <f aca="false">F364+G361</f>
        <v>-20.9921503559083</v>
      </c>
      <c r="H364" s="11" t="n">
        <f aca="false">G364+H361</f>
        <v>-0.51649803852958</v>
      </c>
      <c r="I364" s="11" t="n">
        <f aca="false">H364+I361</f>
        <v>21.0504279409359</v>
      </c>
      <c r="J364" s="11" t="n">
        <f aca="false">I364+J361</f>
        <v>43.5853725567002</v>
      </c>
      <c r="K364" s="11" t="n">
        <f aca="false">J364+K361</f>
        <v>67.1149924448154</v>
      </c>
      <c r="L364" s="11" t="n">
        <f aca="false">K364+L361</f>
        <v>91.6666782935707</v>
      </c>
    </row>
    <row r="365" customFormat="false" ht="15" hidden="false" customHeight="false" outlineLevel="0" collapsed="false">
      <c r="A365" s="5" t="s">
        <v>399</v>
      </c>
      <c r="D365" s="16" t="str">
        <f aca="false">IF(D364&gt;=0,D350,"")</f>
        <v/>
      </c>
      <c r="E365" s="16" t="str">
        <f aca="false">IF(E364&gt;=0,E350,"")</f>
        <v/>
      </c>
      <c r="F365" s="16" t="str">
        <f aca="false">IF(F364&gt;=0,F350,"")</f>
        <v/>
      </c>
      <c r="G365" s="16" t="str">
        <f aca="false">IF(G364&gt;=0,G350,"")</f>
        <v/>
      </c>
      <c r="H365" s="16" t="str">
        <f aca="false">IF(H364&gt;=0,H350,"")</f>
        <v/>
      </c>
      <c r="I365" s="16" t="n">
        <f aca="false">IF(I364&gt;=0,I350,"")</f>
        <v>2032</v>
      </c>
      <c r="J365" s="16" t="n">
        <f aca="false">IF(J364&gt;=0,J350,"")</f>
        <v>2033</v>
      </c>
      <c r="K365" s="16" t="n">
        <f aca="false">IF(K364&gt;=0,K350,"")</f>
        <v>2034</v>
      </c>
      <c r="L365" s="16" t="n">
        <f aca="false">IF(L364&gt;=0,L350,"")</f>
        <v>2035</v>
      </c>
    </row>
    <row r="367" customFormat="false" ht="15" hidden="false" customHeight="false" outlineLevel="0" collapsed="false">
      <c r="A367" s="5" t="s">
        <v>400</v>
      </c>
      <c r="B367" s="11" t="n">
        <f aca="false">Inputs!$D$32*$B$346</f>
        <v>22.6434162532746</v>
      </c>
    </row>
    <row r="368" customFormat="false" ht="15" hidden="false" customHeight="false" outlineLevel="0" collapsed="false">
      <c r="A368" s="7" t="s">
        <v>401</v>
      </c>
      <c r="B368" s="12" t="n">
        <f aca="false">-B367+SUM(D363:L363)+Inputs!$D$33*L361*L362</f>
        <v>65.1927133094745</v>
      </c>
    </row>
    <row r="369" customFormat="false" ht="15" hidden="false" customHeight="false" outlineLevel="0" collapsed="false">
      <c r="A369" s="5" t="s">
        <v>402</v>
      </c>
      <c r="B369" s="11" t="n">
        <f aca="false">-MIN(C364:L364)</f>
        <v>40.4080717628313</v>
      </c>
    </row>
    <row r="370" customFormat="false" ht="15" hidden="false" customHeight="false" outlineLevel="0" collapsed="false">
      <c r="A370" s="5" t="s">
        <v>403</v>
      </c>
      <c r="B370" s="16" t="n">
        <f aca="false">IF(COUNT(C365:L365)=0,"none",MIN(C365:L365))</f>
        <v>2032</v>
      </c>
    </row>
    <row r="371" customFormat="false" ht="15" hidden="false" customHeight="false" outlineLevel="0" collapsed="false">
      <c r="A371" s="5" t="s">
        <v>404</v>
      </c>
      <c r="B371" s="11" t="n">
        <f aca="false">SUMPRODUCT(D357:L357,D362:L362)+Inputs!$D$33*L357*L362</f>
        <v>376.492064082832</v>
      </c>
    </row>
    <row r="372" customFormat="false" ht="15" hidden="false" customHeight="false" outlineLevel="0" collapsed="false">
      <c r="A372" s="5" t="s">
        <v>405</v>
      </c>
      <c r="B372" s="11" t="n">
        <f aca="false">SUMPRODUCT(D358:L358,D362:L362)+Inputs!$D$33*L358*L362</f>
        <v>6.82257676900132</v>
      </c>
    </row>
    <row r="373" customFormat="false" ht="15" hidden="false" customHeight="false" outlineLevel="0" collapsed="false">
      <c r="A373" s="5" t="s">
        <v>406</v>
      </c>
      <c r="B373" s="11" t="n">
        <f aca="false">B367+Inputs!$D$30*$B$346*(SUM(D362:L362)+Inputs!$D$33*L362)</f>
        <v>116.23074196294</v>
      </c>
    </row>
    <row r="374" customFormat="false" ht="15" hidden="false" customHeight="false" outlineLevel="0" collapsed="false">
      <c r="A374" s="5" t="s">
        <v>407</v>
      </c>
      <c r="B374" s="11" t="n">
        <f aca="false">Inputs!$D$29*B371-B372-B373</f>
        <v>65.1927133094745</v>
      </c>
    </row>
    <row r="375" customFormat="false" ht="15" hidden="false" customHeight="false" outlineLevel="0" collapsed="false">
      <c r="A375" s="5" t="s">
        <v>408</v>
      </c>
      <c r="B375" s="49" t="n">
        <f aca="false">IF(Inputs!$D$29*B371-B372&gt;0,B373/(Inputs!$D$29*B371-B372),"n/a")</f>
        <v>0.640659950988228</v>
      </c>
    </row>
    <row r="376" customFormat="false" ht="15" hidden="false" customHeight="false" outlineLevel="0" collapsed="false">
      <c r="A376" s="5" t="s">
        <v>409</v>
      </c>
      <c r="B376" s="50" t="n">
        <f aca="false">ABS(B374-B368)</f>
        <v>0</v>
      </c>
    </row>
    <row r="378" customFormat="false" ht="15" hidden="false" customHeight="false" outlineLevel="0" collapsed="false">
      <c r="A378" s="3" t="s">
        <v>418</v>
      </c>
      <c r="B378" s="42" t="n">
        <f aca="false">MATCH(4,Scorecard!$AS$6:$AS$39,0)</f>
        <v>7</v>
      </c>
      <c r="C378" s="3"/>
      <c r="D378" s="3"/>
      <c r="E378" s="3"/>
      <c r="F378" s="3"/>
      <c r="G378" s="3"/>
      <c r="H378" s="3"/>
      <c r="I378" s="3"/>
      <c r="J378" s="3"/>
      <c r="K378" s="3"/>
      <c r="L378" s="3"/>
    </row>
    <row r="379" customFormat="false" ht="15" hidden="false" customHeight="false" outlineLevel="0" collapsed="false">
      <c r="A379" s="5" t="s">
        <v>36</v>
      </c>
      <c r="B379" s="34" t="str">
        <f aca="false">INDEX(Scorecard!$A$6:$A$39,$B$378)</f>
        <v>Congo, Dem. Rep.</v>
      </c>
      <c r="C379" s="34" t="str">
        <f aca="false">INDEX(Scorecard!$B$6:$B$39,$B$378)</f>
        <v>COD</v>
      </c>
    </row>
    <row r="380" customFormat="false" ht="15" hidden="false" customHeight="false" outlineLevel="0" collapsed="false">
      <c r="A380" s="5" t="s">
        <v>191</v>
      </c>
      <c r="B380" s="40" t="n">
        <f aca="false">INDEX(Data!$D$6:$D$39,$B$378)</f>
        <v>57033055</v>
      </c>
    </row>
    <row r="381" customFormat="false" ht="15" hidden="false" customHeight="false" outlineLevel="0" collapsed="false">
      <c r="A381" s="5" t="s">
        <v>203</v>
      </c>
      <c r="B381" s="39" t="n">
        <f aca="false">INDEX(Data!$P$6:$P$39,$B$378)</f>
        <v>3.24257627586721</v>
      </c>
    </row>
    <row r="382" customFormat="false" ht="15" hidden="false" customHeight="false" outlineLevel="0" collapsed="false">
      <c r="A382" s="5" t="s">
        <v>379</v>
      </c>
      <c r="B382" s="36" t="n">
        <f aca="false">INDEX(Data!$E$6:$E$39,$B$378)</f>
        <v>0.351182388076236</v>
      </c>
    </row>
    <row r="383" customFormat="false" ht="15" hidden="false" customHeight="false" outlineLevel="0" collapsed="false">
      <c r="A383" s="5" t="s">
        <v>290</v>
      </c>
      <c r="B383" s="39" t="n">
        <f aca="false">INDEX(Forecast!$E$6:$E$39,$B$378)</f>
        <v>-0.613845935157847</v>
      </c>
    </row>
    <row r="384" customFormat="false" ht="15" hidden="false" customHeight="false" outlineLevel="0" collapsed="false">
      <c r="A384" s="5" t="s">
        <v>380</v>
      </c>
      <c r="B384" s="43" t="n">
        <f aca="false">INDEX(Forecast!$F$6:$F$39,$B$378)*Inputs!$C$16</f>
        <v>0.0893635307188049</v>
      </c>
    </row>
    <row r="385" customFormat="false" ht="15" hidden="false" customHeight="false" outlineLevel="0" collapsed="false">
      <c r="A385" s="5" t="s">
        <v>381</v>
      </c>
      <c r="B385" s="44" t="n">
        <f aca="false">INDEX(Pools!$H$6:$H$39,$B$378)</f>
        <v>8.79663473358329</v>
      </c>
    </row>
    <row r="386" customFormat="false" ht="15" hidden="false" customHeight="false" outlineLevel="0" collapsed="false">
      <c r="A386" s="5" t="s">
        <v>307</v>
      </c>
      <c r="B386" s="39" t="n">
        <f aca="false">INDEX(Pools!$G$6:$G$39,$B$378)</f>
        <v>1.52068287735894</v>
      </c>
    </row>
    <row r="387" customFormat="false" ht="15" hidden="false" customHeight="false" outlineLevel="0" collapsed="false">
      <c r="A387" s="5" t="s">
        <v>46</v>
      </c>
      <c r="B387" s="36" t="n">
        <f aca="false">INDEX(Scorecard!$AT$6:$AT$39,$B$378)</f>
        <v>0.164660246144535</v>
      </c>
    </row>
    <row r="388" customFormat="false" ht="15" hidden="false" customHeight="false" outlineLevel="0" collapsed="false">
      <c r="A388" s="5" t="s">
        <v>382</v>
      </c>
      <c r="B388" s="36" t="n">
        <f aca="false">Inputs!$C$19</f>
        <v>0.015</v>
      </c>
    </row>
    <row r="389" customFormat="false" ht="15" hidden="false" customHeight="false" outlineLevel="0" collapsed="false">
      <c r="A389" s="5" t="s">
        <v>383</v>
      </c>
      <c r="B389" s="36" t="n">
        <f aca="false">Inputs!$C$18</f>
        <v>0.08</v>
      </c>
    </row>
    <row r="390" customFormat="false" ht="15" hidden="false" customHeight="false" outlineLevel="0" collapsed="false">
      <c r="A390" s="45" t="s">
        <v>384</v>
      </c>
      <c r="B390" s="45"/>
      <c r="C390" s="46" t="n">
        <v>2026</v>
      </c>
      <c r="D390" s="46" t="n">
        <v>2027</v>
      </c>
      <c r="E390" s="46" t="n">
        <v>2028</v>
      </c>
      <c r="F390" s="46" t="n">
        <v>2029</v>
      </c>
      <c r="G390" s="46" t="n">
        <v>2030</v>
      </c>
      <c r="H390" s="46" t="n">
        <v>2031</v>
      </c>
      <c r="I390" s="46" t="n">
        <v>2032</v>
      </c>
      <c r="J390" s="46" t="n">
        <v>2033</v>
      </c>
      <c r="K390" s="46" t="n">
        <v>2034</v>
      </c>
      <c r="L390" s="46" t="n">
        <v>2035</v>
      </c>
    </row>
    <row r="391" customFormat="false" ht="15" hidden="false" customHeight="false" outlineLevel="0" collapsed="false">
      <c r="A391" s="5" t="s">
        <v>385</v>
      </c>
      <c r="D391" s="14" t="n">
        <f aca="false">$B$380*(1+$B$381/100)^(D390-2024)</f>
        <v>62762919.1950846</v>
      </c>
      <c r="E391" s="14" t="n">
        <f aca="false">$B$380*(1+$B$381/100)^(E390-2024)</f>
        <v>64798054.7229461</v>
      </c>
      <c r="F391" s="14" t="n">
        <f aca="false">$B$380*(1+$B$381/100)^(F390-2024)</f>
        <v>66899181.0726158</v>
      </c>
      <c r="G391" s="14" t="n">
        <f aca="false">$B$380*(1+$B$381/100)^(G390-2024)</f>
        <v>69068438.0468259</v>
      </c>
      <c r="H391" s="14" t="n">
        <f aca="false">$B$380*(1+$B$381/100)^(H390-2024)</f>
        <v>71308034.8330443</v>
      </c>
      <c r="I391" s="14" t="n">
        <f aca="false">$B$380*(1+$B$381/100)^(I390-2024)</f>
        <v>73620252.2533277</v>
      </c>
      <c r="J391" s="14" t="n">
        <f aca="false">$B$380*(1+$B$381/100)^(J390-2024)</f>
        <v>76007445.0871277</v>
      </c>
      <c r="K391" s="14" t="n">
        <f aca="false">$B$380*(1+$B$381/100)^(K390-2024)</f>
        <v>78472044.4694157</v>
      </c>
      <c r="L391" s="14" t="n">
        <f aca="false">$B$380*(1+$B$381/100)^(L390-2024)</f>
        <v>81016560.366569</v>
      </c>
    </row>
    <row r="392" customFormat="false" ht="15" hidden="false" customHeight="false" outlineLevel="0" collapsed="false">
      <c r="A392" s="5" t="s">
        <v>386</v>
      </c>
      <c r="D392" s="13" t="n">
        <f aca="false">MIN(1/(1+EXP(-($B$383+$B$384*(D390-2024)))),MAX(Inputs!$D$9,$B$382))</f>
        <v>0.414412116381319</v>
      </c>
      <c r="E392" s="13" t="n">
        <f aca="false">MIN(1/(1+EXP(-($B$383+$B$384*(E390-2024)))),MAX(Inputs!$D$9,$B$382))</f>
        <v>0.436250886603593</v>
      </c>
      <c r="F392" s="13" t="n">
        <f aca="false">MIN(1/(1+EXP(-($B$383+$B$384*(F390-2024)))),MAX(Inputs!$D$9,$B$382))</f>
        <v>0.458339739318009</v>
      </c>
      <c r="G392" s="13" t="n">
        <f aca="false">MIN(1/(1+EXP(-($B$383+$B$384*(G390-2024)))),MAX(Inputs!$D$9,$B$382))</f>
        <v>0.480593565974181</v>
      </c>
      <c r="H392" s="13" t="n">
        <f aca="false">MIN(1/(1+EXP(-($B$383+$B$384*(H390-2024)))),MAX(Inputs!$D$9,$B$382))</f>
        <v>0.502924661612404</v>
      </c>
      <c r="I392" s="13" t="n">
        <f aca="false">MIN(1/(1+EXP(-($B$383+$B$384*(I390-2024)))),MAX(Inputs!$D$9,$B$382))</f>
        <v>0.525244095233562</v>
      </c>
      <c r="J392" s="13" t="n">
        <f aca="false">MIN(1/(1+EXP(-($B$383+$B$384*(J390-2024)))),MAX(Inputs!$D$9,$B$382))</f>
        <v>0.547463121288636</v>
      </c>
      <c r="K392" s="13" t="n">
        <f aca="false">MIN(1/(1+EXP(-($B$383+$B$384*(K390-2024)))),MAX(Inputs!$D$9,$B$382))</f>
        <v>0.569494584930055</v>
      </c>
      <c r="L392" s="13" t="n">
        <f aca="false">MIN(1/(1+EXP(-($B$383+$B$384*(L390-2024)))),MAX(Inputs!$D$9,$B$382))</f>
        <v>0.591254274025142</v>
      </c>
    </row>
    <row r="393" customFormat="false" ht="15" hidden="false" customHeight="false" outlineLevel="0" collapsed="false">
      <c r="A393" s="5" t="s">
        <v>387</v>
      </c>
      <c r="D393" s="14" t="n">
        <f aca="false">D391*$B$382</f>
        <v>22041231.8455656</v>
      </c>
      <c r="E393" s="14" t="n">
        <f aca="false">E391*$B$382</f>
        <v>22755935.6002988</v>
      </c>
      <c r="F393" s="14" t="n">
        <f aca="false">F391*$B$382</f>
        <v>23493814.1694257</v>
      </c>
      <c r="G393" s="14" t="n">
        <f aca="false">G391*$B$382</f>
        <v>24255619.0139799</v>
      </c>
      <c r="H393" s="14" t="n">
        <f aca="false">H391*$B$382</f>
        <v>25042125.9616919</v>
      </c>
      <c r="I393" s="14" t="n">
        <f aca="false">I391*$B$382</f>
        <v>25854135.9970985</v>
      </c>
      <c r="J393" s="14" t="n">
        <f aca="false">J391*$B$382</f>
        <v>26692476.0772709</v>
      </c>
      <c r="K393" s="14" t="n">
        <f aca="false">K391*$B$382</f>
        <v>27557999.973994</v>
      </c>
      <c r="L393" s="14" t="n">
        <f aca="false">L391*$B$382</f>
        <v>28451589.1432542</v>
      </c>
    </row>
    <row r="394" customFormat="false" ht="15" hidden="false" customHeight="false" outlineLevel="0" collapsed="false">
      <c r="A394" s="5" t="s">
        <v>388</v>
      </c>
      <c r="D394" s="14" t="n">
        <f aca="false">MAX(0,D391*D392-D393)</f>
        <v>3968482.32833905</v>
      </c>
      <c r="E394" s="14" t="n">
        <f aca="false">MAX(0,E391*E392-E393)</f>
        <v>5512273.22277452</v>
      </c>
      <c r="F394" s="14" t="n">
        <f aca="false">MAX(0,F391*F392-F393)</f>
        <v>7168739.04398524</v>
      </c>
      <c r="G394" s="14" t="n">
        <f aca="false">MAX(0,G391*G392-G393)</f>
        <v>8938227.92321101</v>
      </c>
      <c r="H394" s="14" t="n">
        <f aca="false">MAX(0,H391*H392-H393)</f>
        <v>10820443.3269624</v>
      </c>
      <c r="I394" s="14" t="n">
        <f aca="false">MAX(0,I391*I392-I393)</f>
        <v>12814466.7885672</v>
      </c>
      <c r="J394" s="14" t="n">
        <f aca="false">MAX(0,J391*J392-J393)</f>
        <v>14918797.0513026</v>
      </c>
      <c r="K394" s="14" t="n">
        <f aca="false">MAX(0,K391*K392-K393)</f>
        <v>17131404.4197288</v>
      </c>
      <c r="L394" s="14" t="n">
        <f aca="false">MAX(0,L391*L392-L393)</f>
        <v>19449798.4402956</v>
      </c>
    </row>
    <row r="395" customFormat="false" ht="15" hidden="false" customHeight="false" outlineLevel="0" collapsed="false">
      <c r="A395" s="5" t="s">
        <v>389</v>
      </c>
      <c r="D395" s="47" t="n">
        <f aca="false">Inputs!$D$41</f>
        <v>0.1</v>
      </c>
      <c r="E395" s="47" t="n">
        <f aca="false">Inputs!$D$42</f>
        <v>0.35</v>
      </c>
      <c r="F395" s="47" t="n">
        <f aca="false">Inputs!$D$43</f>
        <v>0.65</v>
      </c>
      <c r="G395" s="47" t="n">
        <f aca="false">Inputs!$D$44</f>
        <v>1</v>
      </c>
      <c r="H395" s="47" t="n">
        <f aca="false">Inputs!$D$44</f>
        <v>1</v>
      </c>
      <c r="I395" s="47" t="n">
        <f aca="false">Inputs!$D$44</f>
        <v>1</v>
      </c>
      <c r="J395" s="47" t="n">
        <f aca="false">Inputs!$D$44</f>
        <v>1</v>
      </c>
      <c r="K395" s="47" t="n">
        <f aca="false">Inputs!$D$44</f>
        <v>1</v>
      </c>
      <c r="L395" s="47" t="n">
        <f aca="false">Inputs!$D$44</f>
        <v>1</v>
      </c>
    </row>
    <row r="396" customFormat="false" ht="15" hidden="false" customHeight="false" outlineLevel="0" collapsed="false">
      <c r="A396" s="5" t="s">
        <v>390</v>
      </c>
      <c r="C396" s="14" t="n">
        <v>0</v>
      </c>
      <c r="D396" s="14" t="n">
        <f aca="false">D395*($B$388*D393+$B$389*D394)</f>
        <v>64809.7063950609</v>
      </c>
      <c r="E396" s="14" t="n">
        <f aca="false">E395*($B$388*E393+$B$389*E394)</f>
        <v>273812.312139255</v>
      </c>
      <c r="F396" s="14" t="n">
        <f aca="false">F395*($B$388*F393+$B$389*F394)</f>
        <v>601839.118439133</v>
      </c>
      <c r="G396" s="14" t="n">
        <f aca="false">G395*($B$388*G393+$B$389*G394)</f>
        <v>1078892.51906658</v>
      </c>
      <c r="H396" s="14" t="n">
        <f aca="false">H395*($B$388*H393+$B$389*H394)</f>
        <v>1241267.35558237</v>
      </c>
      <c r="I396" s="14" t="n">
        <f aca="false">I395*($B$388*I393+$B$389*I394)</f>
        <v>1412969.38304186</v>
      </c>
      <c r="J396" s="14" t="n">
        <f aca="false">J395*($B$388*J393+$B$389*J394)</f>
        <v>1593890.90526327</v>
      </c>
      <c r="K396" s="14" t="n">
        <f aca="false">K395*($B$388*K393+$B$389*K394)</f>
        <v>1783882.35318821</v>
      </c>
      <c r="L396" s="14" t="n">
        <f aca="false">L395*($B$388*L393+$B$389*L394)</f>
        <v>1982757.71237246</v>
      </c>
    </row>
    <row r="397" customFormat="false" ht="15" hidden="false" customHeight="false" outlineLevel="0" collapsed="false">
      <c r="A397" s="5" t="s">
        <v>391</v>
      </c>
      <c r="D397" s="11" t="n">
        <f aca="false">D396*$B$385/1000000</f>
        <v>0.570107314348127</v>
      </c>
      <c r="E397" s="11" t="n">
        <f aca="false">E396*$B$385/1000000</f>
        <v>2.40862689544692</v>
      </c>
      <c r="F397" s="11" t="n">
        <f aca="false">F396*$B$385/1000000</f>
        <v>5.29415889329083</v>
      </c>
      <c r="G397" s="11" t="n">
        <f aca="false">G396*$B$385/1000000</f>
        <v>9.49062340702424</v>
      </c>
      <c r="H397" s="11" t="n">
        <f aca="false">H396*$B$385/1000000</f>
        <v>10.918975533779</v>
      </c>
      <c r="I397" s="11" t="n">
        <f aca="false">I396*$B$385/1000000</f>
        <v>12.4293755523557</v>
      </c>
      <c r="J397" s="11" t="n">
        <f aca="false">J396*$B$385/1000000</f>
        <v>14.0208760987814</v>
      </c>
      <c r="K397" s="11" t="n">
        <f aca="false">K396*$B$385/1000000</f>
        <v>15.6921614686817</v>
      </c>
      <c r="L397" s="11" t="n">
        <f aca="false">L396*$B$385/1000000</f>
        <v>17.4415953609357</v>
      </c>
    </row>
    <row r="398" customFormat="false" ht="15" hidden="false" customHeight="false" outlineLevel="0" collapsed="false">
      <c r="A398" s="5" t="s">
        <v>392</v>
      </c>
      <c r="D398" s="11" t="n">
        <f aca="false">Inputs!$D$31*MAX(0,D396-C396)/1000000</f>
        <v>0.194429119185183</v>
      </c>
      <c r="E398" s="11" t="n">
        <f aca="false">Inputs!$D$31*MAX(0,E396-D396)/1000000</f>
        <v>0.627007817232584</v>
      </c>
      <c r="F398" s="11" t="n">
        <f aca="false">Inputs!$D$31*MAX(0,F396-E396)/1000000</f>
        <v>0.984080418899634</v>
      </c>
      <c r="G398" s="11" t="n">
        <f aca="false">Inputs!$D$31*MAX(0,G396-F396)/1000000</f>
        <v>1.43116020188234</v>
      </c>
      <c r="H398" s="11" t="n">
        <f aca="false">Inputs!$D$31*MAX(0,H396-G396)/1000000</f>
        <v>0.487124509547371</v>
      </c>
      <c r="I398" s="11" t="n">
        <f aca="false">Inputs!$D$31*MAX(0,I396-H396)/1000000</f>
        <v>0.515106082378458</v>
      </c>
      <c r="J398" s="11" t="n">
        <f aca="false">Inputs!$D$31*MAX(0,J396-I396)/1000000</f>
        <v>0.542764566664258</v>
      </c>
      <c r="K398" s="11" t="n">
        <f aca="false">Inputs!$D$31*MAX(0,K396-J396)/1000000</f>
        <v>0.569974343774807</v>
      </c>
      <c r="L398" s="11" t="n">
        <f aca="false">Inputs!$D$31*MAX(0,L396-K396)/1000000</f>
        <v>0.596626077552746</v>
      </c>
    </row>
    <row r="399" customFormat="false" ht="15" hidden="false" customHeight="false" outlineLevel="0" collapsed="false">
      <c r="A399" s="5" t="s">
        <v>393</v>
      </c>
      <c r="D399" s="11" t="n">
        <f aca="false">Inputs!$D$30*$B$386</f>
        <v>18.2481945283073</v>
      </c>
      <c r="E399" s="11" t="n">
        <f aca="false">Inputs!$D$30*$B$386</f>
        <v>18.2481945283073</v>
      </c>
      <c r="F399" s="11" t="n">
        <f aca="false">Inputs!$D$30*$B$386</f>
        <v>18.2481945283073</v>
      </c>
      <c r="G399" s="11" t="n">
        <f aca="false">Inputs!$D$30*$B$386</f>
        <v>18.2481945283073</v>
      </c>
      <c r="H399" s="11" t="n">
        <f aca="false">Inputs!$D$30*$B$386</f>
        <v>18.2481945283073</v>
      </c>
      <c r="I399" s="11" t="n">
        <f aca="false">Inputs!$D$30*$B$386</f>
        <v>18.2481945283073</v>
      </c>
      <c r="J399" s="11" t="n">
        <f aca="false">Inputs!$D$30*$B$386</f>
        <v>18.2481945283073</v>
      </c>
      <c r="K399" s="11" t="n">
        <f aca="false">Inputs!$D$30*$B$386</f>
        <v>18.2481945283073</v>
      </c>
      <c r="L399" s="11" t="n">
        <f aca="false">Inputs!$D$30*$B$386</f>
        <v>18.2481945283073</v>
      </c>
    </row>
    <row r="400" customFormat="false" ht="15" hidden="false" customHeight="false" outlineLevel="0" collapsed="false">
      <c r="A400" s="5" t="s">
        <v>394</v>
      </c>
      <c r="D400" s="11" t="n">
        <f aca="false">D397*Inputs!$D$29-D398</f>
        <v>0.0906245379888812</v>
      </c>
      <c r="E400" s="11" t="n">
        <f aca="false">E397*Inputs!$D$29-E398</f>
        <v>0.577305630490878</v>
      </c>
      <c r="F400" s="11" t="n">
        <f aca="false">F397*Inputs!$D$29-F398</f>
        <v>1.66299902774578</v>
      </c>
      <c r="G400" s="11" t="n">
        <f aca="false">G397*Inputs!$D$29-G398</f>
        <v>3.31415150162978</v>
      </c>
      <c r="H400" s="11" t="n">
        <f aca="false">H397*Inputs!$D$29-H398</f>
        <v>4.9723632573421</v>
      </c>
      <c r="I400" s="11" t="n">
        <f aca="false">I397*Inputs!$D$29-I398</f>
        <v>5.69958169379941</v>
      </c>
      <c r="J400" s="11" t="n">
        <f aca="false">J397*Inputs!$D$29-J398</f>
        <v>6.46767348272646</v>
      </c>
      <c r="K400" s="11" t="n">
        <f aca="false">K397*Inputs!$D$29-K398</f>
        <v>7.27610639056605</v>
      </c>
      <c r="L400" s="11" t="n">
        <f aca="false">L397*Inputs!$D$29-L398</f>
        <v>8.12417160291511</v>
      </c>
    </row>
    <row r="401" customFormat="false" ht="15" hidden="false" customHeight="false" outlineLevel="0" collapsed="false">
      <c r="A401" s="5" t="s">
        <v>395</v>
      </c>
      <c r="D401" s="11" t="n">
        <f aca="false">D400-D399</f>
        <v>-18.1575699903184</v>
      </c>
      <c r="E401" s="11" t="n">
        <f aca="false">E400-E399</f>
        <v>-17.6708888978164</v>
      </c>
      <c r="F401" s="11" t="n">
        <f aca="false">F400-F399</f>
        <v>-16.5851955005615</v>
      </c>
      <c r="G401" s="11" t="n">
        <f aca="false">G400-G399</f>
        <v>-14.9340430266775</v>
      </c>
      <c r="H401" s="11" t="n">
        <f aca="false">H400-H399</f>
        <v>-13.2758312709652</v>
      </c>
      <c r="I401" s="11" t="n">
        <f aca="false">I400-I399</f>
        <v>-12.5486128345079</v>
      </c>
      <c r="J401" s="11" t="n">
        <f aca="false">J400-J399</f>
        <v>-11.7805210455809</v>
      </c>
      <c r="K401" s="11" t="n">
        <f aca="false">K400-K399</f>
        <v>-10.9720881377413</v>
      </c>
      <c r="L401" s="11" t="n">
        <f aca="false">L400-L399</f>
        <v>-10.1240229253922</v>
      </c>
    </row>
    <row r="402" customFormat="false" ht="15" hidden="false" customHeight="false" outlineLevel="0" collapsed="false">
      <c r="A402" s="5" t="s">
        <v>396</v>
      </c>
      <c r="D402" s="48" t="n">
        <f aca="false">1/(1+$B$387)^(D390-2026)</f>
        <v>0.858619501533067</v>
      </c>
      <c r="E402" s="48" t="n">
        <f aca="false">1/(1+$B$387)^(E390-2026)</f>
        <v>0.737227448412893</v>
      </c>
      <c r="F402" s="48" t="n">
        <f aca="false">1/(1+$B$387)^(F390-2026)</f>
        <v>0.632997864272773</v>
      </c>
      <c r="G402" s="48" t="n">
        <f aca="false">1/(1+$B$387)^(G390-2026)</f>
        <v>0.543504310693385</v>
      </c>
      <c r="H402" s="48" t="n">
        <f aca="false">1/(1+$B$387)^(H390-2026)</f>
        <v>0.466663400328628</v>
      </c>
      <c r="I402" s="48" t="n">
        <f aca="false">1/(1+$B$387)^(I390-2026)</f>
        <v>0.400686296173892</v>
      </c>
      <c r="J402" s="48" t="n">
        <f aca="false">1/(1+$B$387)^(J390-2026)</f>
        <v>0.344037067891959</v>
      </c>
      <c r="K402" s="48" t="n">
        <f aca="false">1/(1+$B$387)^(K390-2026)</f>
        <v>0.295396935742292</v>
      </c>
      <c r="L402" s="48" t="n">
        <f aca="false">1/(1+$B$387)^(L390-2026)</f>
        <v>0.253633569721442</v>
      </c>
    </row>
    <row r="403" customFormat="false" ht="15" hidden="false" customHeight="false" outlineLevel="0" collapsed="false">
      <c r="A403" s="5" t="s">
        <v>397</v>
      </c>
      <c r="D403" s="11" t="n">
        <f aca="false">D401*D402</f>
        <v>-15.590443694139</v>
      </c>
      <c r="E403" s="11" t="n">
        <f aca="false">E401*E402</f>
        <v>-13.0274643333249</v>
      </c>
      <c r="F403" s="11" t="n">
        <f aca="false">F401*F402</f>
        <v>-10.4983933304019</v>
      </c>
      <c r="G403" s="11" t="n">
        <f aca="false">G401*G402</f>
        <v>-8.11671676107972</v>
      </c>
      <c r="H403" s="11" t="n">
        <f aca="false">H401*H402</f>
        <v>-6.19534456309775</v>
      </c>
      <c r="I403" s="11" t="n">
        <f aca="false">I401*I402</f>
        <v>-5.02805719877914</v>
      </c>
      <c r="J403" s="11" t="n">
        <f aca="false">J401*J402</f>
        <v>-4.05293591876115</v>
      </c>
      <c r="K403" s="11" t="n">
        <f aca="false">K401*K402</f>
        <v>-3.24112121458311</v>
      </c>
      <c r="L403" s="11" t="n">
        <f aca="false">L401*L402</f>
        <v>-2.56779207450894</v>
      </c>
    </row>
    <row r="404" customFormat="false" ht="15" hidden="false" customHeight="false" outlineLevel="0" collapsed="false">
      <c r="A404" s="5" t="s">
        <v>398</v>
      </c>
      <c r="C404" s="11" t="n">
        <f aca="false">-B407</f>
        <v>-30.4136575471789</v>
      </c>
      <c r="D404" s="11" t="n">
        <f aca="false">C404+D401</f>
        <v>-48.5712275374973</v>
      </c>
      <c r="E404" s="11" t="n">
        <f aca="false">D404+E401</f>
        <v>-66.2421164353137</v>
      </c>
      <c r="F404" s="11" t="n">
        <f aca="false">E404+F401</f>
        <v>-82.8273119358752</v>
      </c>
      <c r="G404" s="11" t="n">
        <f aca="false">F404+G401</f>
        <v>-97.7613549625528</v>
      </c>
      <c r="H404" s="11" t="n">
        <f aca="false">G404+H401</f>
        <v>-111.037186233518</v>
      </c>
      <c r="I404" s="11" t="n">
        <f aca="false">H404+I401</f>
        <v>-123.585799068026</v>
      </c>
      <c r="J404" s="11" t="n">
        <f aca="false">I404+J401</f>
        <v>-135.366320113607</v>
      </c>
      <c r="K404" s="11" t="n">
        <f aca="false">J404+K401</f>
        <v>-146.338408251348</v>
      </c>
      <c r="L404" s="11" t="n">
        <f aca="false">K404+L401</f>
        <v>-156.46243117674</v>
      </c>
    </row>
    <row r="405" customFormat="false" ht="15" hidden="false" customHeight="false" outlineLevel="0" collapsed="false">
      <c r="A405" s="5" t="s">
        <v>399</v>
      </c>
      <c r="D405" s="16" t="str">
        <f aca="false">IF(D404&gt;=0,D390,"")</f>
        <v/>
      </c>
      <c r="E405" s="16" t="str">
        <f aca="false">IF(E404&gt;=0,E390,"")</f>
        <v/>
      </c>
      <c r="F405" s="16" t="str">
        <f aca="false">IF(F404&gt;=0,F390,"")</f>
        <v/>
      </c>
      <c r="G405" s="16" t="str">
        <f aca="false">IF(G404&gt;=0,G390,"")</f>
        <v/>
      </c>
      <c r="H405" s="16" t="str">
        <f aca="false">IF(H404&gt;=0,H390,"")</f>
        <v/>
      </c>
      <c r="I405" s="16" t="str">
        <f aca="false">IF(I404&gt;=0,I390,"")</f>
        <v/>
      </c>
      <c r="J405" s="16" t="str">
        <f aca="false">IF(J404&gt;=0,J390,"")</f>
        <v/>
      </c>
      <c r="K405" s="16" t="str">
        <f aca="false">IF(K404&gt;=0,K390,"")</f>
        <v/>
      </c>
      <c r="L405" s="16" t="str">
        <f aca="false">IF(L404&gt;=0,L390,"")</f>
        <v/>
      </c>
    </row>
    <row r="407" customFormat="false" ht="15" hidden="false" customHeight="false" outlineLevel="0" collapsed="false">
      <c r="A407" s="5" t="s">
        <v>400</v>
      </c>
      <c r="B407" s="11" t="n">
        <f aca="false">Inputs!$D$32*$B$386</f>
        <v>30.4136575471789</v>
      </c>
    </row>
    <row r="408" customFormat="false" ht="15" hidden="false" customHeight="false" outlineLevel="0" collapsed="false">
      <c r="A408" s="7" t="s">
        <v>401</v>
      </c>
      <c r="B408" s="12" t="n">
        <f aca="false">-B407+SUM(D403:L403)+Inputs!$D$33*L401*L402</f>
        <v>-111.570887008399</v>
      </c>
    </row>
    <row r="409" customFormat="false" ht="15" hidden="false" customHeight="false" outlineLevel="0" collapsed="false">
      <c r="A409" s="5" t="s">
        <v>402</v>
      </c>
      <c r="B409" s="11" t="n">
        <f aca="false">-MIN(C404:L404)</f>
        <v>156.46243117674</v>
      </c>
    </row>
    <row r="410" customFormat="false" ht="15" hidden="false" customHeight="false" outlineLevel="0" collapsed="false">
      <c r="A410" s="5" t="s">
        <v>403</v>
      </c>
      <c r="B410" s="16" t="str">
        <f aca="false">IF(COUNT(C405:L405)=0,"none",MIN(C405:L405))</f>
        <v>none</v>
      </c>
    </row>
    <row r="411" customFormat="false" ht="15" hidden="false" customHeight="false" outlineLevel="0" collapsed="false">
      <c r="A411" s="5" t="s">
        <v>404</v>
      </c>
      <c r="B411" s="11" t="n">
        <f aca="false">SUMPRODUCT(D397:L397,D402:L402)+Inputs!$D$33*L397*L402</f>
        <v>56.8521259018695</v>
      </c>
    </row>
    <row r="412" customFormat="false" ht="15" hidden="false" customHeight="false" outlineLevel="0" collapsed="false">
      <c r="A412" s="5" t="s">
        <v>405</v>
      </c>
      <c r="B412" s="11" t="n">
        <f aca="false">SUMPRODUCT(D398:L398,D402:L402)+Inputs!$D$33*L398*L402</f>
        <v>3.72671589308251</v>
      </c>
    </row>
    <row r="413" customFormat="false" ht="15" hidden="false" customHeight="false" outlineLevel="0" collapsed="false">
      <c r="A413" s="5" t="s">
        <v>406</v>
      </c>
      <c r="B413" s="11" t="n">
        <f aca="false">B407+Inputs!$D$30*$B$386*(SUM(D402:L402)+Inputs!$D$33*L402)</f>
        <v>136.270234066251</v>
      </c>
    </row>
    <row r="414" customFormat="false" ht="15" hidden="false" customHeight="false" outlineLevel="0" collapsed="false">
      <c r="A414" s="5" t="s">
        <v>407</v>
      </c>
      <c r="B414" s="11" t="n">
        <f aca="false">Inputs!$D$29*B411-B412-B413</f>
        <v>-111.570887008399</v>
      </c>
    </row>
    <row r="415" customFormat="false" ht="15" hidden="false" customHeight="false" outlineLevel="0" collapsed="false">
      <c r="A415" s="5" t="s">
        <v>408</v>
      </c>
      <c r="B415" s="49" t="n">
        <f aca="false">IF(Inputs!$D$29*B411-B412&gt;0,B413/(Inputs!$D$29*B411-B412),"n/a")</f>
        <v>5.51715937053199</v>
      </c>
    </row>
    <row r="416" customFormat="false" ht="15" hidden="false" customHeight="false" outlineLevel="0" collapsed="false">
      <c r="A416" s="5" t="s">
        <v>409</v>
      </c>
      <c r="B416" s="50" t="n">
        <f aca="false">ABS(B414-B408)</f>
        <v>0</v>
      </c>
    </row>
    <row r="418" customFormat="false" ht="15" hidden="false" customHeight="false" outlineLevel="0" collapsed="false">
      <c r="A418" s="3" t="s">
        <v>419</v>
      </c>
      <c r="B418" s="42" t="n">
        <f aca="false">MATCH(4,Scorecard!$AS$6:$AS$39,0)</f>
        <v>7</v>
      </c>
      <c r="C418" s="3"/>
      <c r="D418" s="3"/>
      <c r="E418" s="3"/>
      <c r="F418" s="3"/>
      <c r="G418" s="3"/>
      <c r="H418" s="3"/>
      <c r="I418" s="3"/>
      <c r="J418" s="3"/>
      <c r="K418" s="3"/>
      <c r="L418" s="3"/>
    </row>
    <row r="419" customFormat="false" ht="15" hidden="false" customHeight="false" outlineLevel="0" collapsed="false">
      <c r="A419" s="5" t="s">
        <v>36</v>
      </c>
      <c r="B419" s="34" t="str">
        <f aca="false">INDEX(Scorecard!$A$6:$A$39,$B$418)</f>
        <v>Congo, Dem. Rep.</v>
      </c>
      <c r="C419" s="34" t="str">
        <f aca="false">INDEX(Scorecard!$B$6:$B$39,$B$418)</f>
        <v>COD</v>
      </c>
    </row>
    <row r="420" customFormat="false" ht="15" hidden="false" customHeight="false" outlineLevel="0" collapsed="false">
      <c r="A420" s="5" t="s">
        <v>191</v>
      </c>
      <c r="B420" s="40" t="n">
        <f aca="false">INDEX(Data!$D$6:$D$39,$B$418)</f>
        <v>57033055</v>
      </c>
    </row>
    <row r="421" customFormat="false" ht="15" hidden="false" customHeight="false" outlineLevel="0" collapsed="false">
      <c r="A421" s="5" t="s">
        <v>203</v>
      </c>
      <c r="B421" s="39" t="n">
        <f aca="false">INDEX(Data!$P$6:$P$39,$B$418)</f>
        <v>3.24257627586721</v>
      </c>
    </row>
    <row r="422" customFormat="false" ht="15" hidden="false" customHeight="false" outlineLevel="0" collapsed="false">
      <c r="A422" s="5" t="s">
        <v>379</v>
      </c>
      <c r="B422" s="36" t="n">
        <f aca="false">INDEX(Data!$E$6:$E$39,$B$418)</f>
        <v>0.351182388076236</v>
      </c>
    </row>
    <row r="423" customFormat="false" ht="15" hidden="false" customHeight="false" outlineLevel="0" collapsed="false">
      <c r="A423" s="5" t="s">
        <v>290</v>
      </c>
      <c r="B423" s="39" t="n">
        <f aca="false">INDEX(Forecast!$E$6:$E$39,$B$418)</f>
        <v>-0.613845935157847</v>
      </c>
    </row>
    <row r="424" customFormat="false" ht="15" hidden="false" customHeight="false" outlineLevel="0" collapsed="false">
      <c r="A424" s="5" t="s">
        <v>380</v>
      </c>
      <c r="B424" s="43" t="n">
        <f aca="false">INDEX(Forecast!$F$6:$F$39,$B$418)*Inputs!$D$16</f>
        <v>0.17872706143761</v>
      </c>
    </row>
    <row r="425" customFormat="false" ht="15" hidden="false" customHeight="false" outlineLevel="0" collapsed="false">
      <c r="A425" s="5" t="s">
        <v>381</v>
      </c>
      <c r="B425" s="44" t="n">
        <f aca="false">INDEX(Pools!$I$6:$I$39,$B$418)</f>
        <v>14.6610578893055</v>
      </c>
    </row>
    <row r="426" customFormat="false" ht="15" hidden="false" customHeight="false" outlineLevel="0" collapsed="false">
      <c r="A426" s="5" t="s">
        <v>307</v>
      </c>
      <c r="B426" s="39" t="n">
        <f aca="false">INDEX(Pools!$G$6:$G$39,$B$418)</f>
        <v>1.52068287735894</v>
      </c>
    </row>
    <row r="427" customFormat="false" ht="15" hidden="false" customHeight="false" outlineLevel="0" collapsed="false">
      <c r="A427" s="5" t="s">
        <v>46</v>
      </c>
      <c r="B427" s="36" t="n">
        <f aca="false">INDEX(Scorecard!$AT$6:$AT$39,$B$418)</f>
        <v>0.164660246144535</v>
      </c>
    </row>
    <row r="428" customFormat="false" ht="15" hidden="false" customHeight="false" outlineLevel="0" collapsed="false">
      <c r="A428" s="5" t="s">
        <v>382</v>
      </c>
      <c r="B428" s="36" t="n">
        <f aca="false">Inputs!$D$19</f>
        <v>0.03</v>
      </c>
    </row>
    <row r="429" customFormat="false" ht="15" hidden="false" customHeight="false" outlineLevel="0" collapsed="false">
      <c r="A429" s="5" t="s">
        <v>383</v>
      </c>
      <c r="B429" s="36" t="n">
        <f aca="false">Inputs!$D$18</f>
        <v>0.15</v>
      </c>
    </row>
    <row r="430" customFormat="false" ht="15" hidden="false" customHeight="false" outlineLevel="0" collapsed="false">
      <c r="A430" s="45" t="s">
        <v>384</v>
      </c>
      <c r="B430" s="45"/>
      <c r="C430" s="46" t="n">
        <v>2026</v>
      </c>
      <c r="D430" s="46" t="n">
        <v>2027</v>
      </c>
      <c r="E430" s="46" t="n">
        <v>2028</v>
      </c>
      <c r="F430" s="46" t="n">
        <v>2029</v>
      </c>
      <c r="G430" s="46" t="n">
        <v>2030</v>
      </c>
      <c r="H430" s="46" t="n">
        <v>2031</v>
      </c>
      <c r="I430" s="46" t="n">
        <v>2032</v>
      </c>
      <c r="J430" s="46" t="n">
        <v>2033</v>
      </c>
      <c r="K430" s="46" t="n">
        <v>2034</v>
      </c>
      <c r="L430" s="46" t="n">
        <v>2035</v>
      </c>
    </row>
    <row r="431" customFormat="false" ht="15" hidden="false" customHeight="false" outlineLevel="0" collapsed="false">
      <c r="A431" s="5" t="s">
        <v>385</v>
      </c>
      <c r="D431" s="14" t="n">
        <f aca="false">$B$420*(1+$B$421/100)^(D430-2024)</f>
        <v>62762919.1950846</v>
      </c>
      <c r="E431" s="14" t="n">
        <f aca="false">$B$420*(1+$B$421/100)^(E430-2024)</f>
        <v>64798054.7229461</v>
      </c>
      <c r="F431" s="14" t="n">
        <f aca="false">$B$420*(1+$B$421/100)^(F430-2024)</f>
        <v>66899181.0726158</v>
      </c>
      <c r="G431" s="14" t="n">
        <f aca="false">$B$420*(1+$B$421/100)^(G430-2024)</f>
        <v>69068438.0468259</v>
      </c>
      <c r="H431" s="14" t="n">
        <f aca="false">$B$420*(1+$B$421/100)^(H430-2024)</f>
        <v>71308034.8330443</v>
      </c>
      <c r="I431" s="14" t="n">
        <f aca="false">$B$420*(1+$B$421/100)^(I430-2024)</f>
        <v>73620252.2533277</v>
      </c>
      <c r="J431" s="14" t="n">
        <f aca="false">$B$420*(1+$B$421/100)^(J430-2024)</f>
        <v>76007445.0871277</v>
      </c>
      <c r="K431" s="14" t="n">
        <f aca="false">$B$420*(1+$B$421/100)^(K430-2024)</f>
        <v>78472044.4694157</v>
      </c>
      <c r="L431" s="14" t="n">
        <f aca="false">$B$420*(1+$B$421/100)^(L430-2024)</f>
        <v>81016560.366569</v>
      </c>
    </row>
    <row r="432" customFormat="false" ht="15" hidden="false" customHeight="false" outlineLevel="0" collapsed="false">
      <c r="A432" s="5" t="s">
        <v>386</v>
      </c>
      <c r="D432" s="13" t="n">
        <f aca="false">MIN(1/(1+EXP(-($B$423+$B$424*(D430-2024)))),MAX(Inputs!$D$9,$B$422))</f>
        <v>0.480593565974181</v>
      </c>
      <c r="E432" s="13" t="n">
        <f aca="false">MIN(1/(1+EXP(-($B$423+$B$424*(E430-2024)))),MAX(Inputs!$D$9,$B$422))</f>
        <v>0.525244095233562</v>
      </c>
      <c r="F432" s="13" t="n">
        <f aca="false">MIN(1/(1+EXP(-($B$423+$B$424*(F430-2024)))),MAX(Inputs!$D$9,$B$422))</f>
        <v>0.569494584930055</v>
      </c>
      <c r="G432" s="13" t="n">
        <f aca="false">MIN(1/(1+EXP(-($B$423+$B$424*(G430-2024)))),MAX(Inputs!$D$9,$B$422))</f>
        <v>0.61266217396715</v>
      </c>
      <c r="H432" s="13" t="n">
        <f aca="false">MIN(1/(1+EXP(-($B$423+$B$424*(H430-2024)))),MAX(Inputs!$D$9,$B$422))</f>
        <v>0.65413008333837</v>
      </c>
      <c r="I432" s="13" t="n">
        <f aca="false">MIN(1/(1+EXP(-($B$423+$B$424*(I430-2024)))),MAX(Inputs!$D$9,$B$422))</f>
        <v>0.693380332251505</v>
      </c>
      <c r="J432" s="13" t="n">
        <f aca="false">MIN(1/(1+EXP(-($B$423+$B$424*(J430-2024)))),MAX(Inputs!$D$9,$B$422))</f>
        <v>0.730014790648379</v>
      </c>
      <c r="K432" s="13" t="n">
        <f aca="false">MIN(1/(1+EXP(-($B$423+$B$424*(K430-2024)))),MAX(Inputs!$D$9,$B$422))</f>
        <v>0.763763484633162</v>
      </c>
      <c r="L432" s="13" t="n">
        <f aca="false">MIN(1/(1+EXP(-($B$423+$B$424*(L430-2024)))),MAX(Inputs!$D$9,$B$422))</f>
        <v>0.794481188827798</v>
      </c>
    </row>
    <row r="433" customFormat="false" ht="15" hidden="false" customHeight="false" outlineLevel="0" collapsed="false">
      <c r="A433" s="5" t="s">
        <v>387</v>
      </c>
      <c r="D433" s="14" t="n">
        <f aca="false">D431*$B$422</f>
        <v>22041231.8455656</v>
      </c>
      <c r="E433" s="14" t="n">
        <f aca="false">E431*$B$422</f>
        <v>22755935.6002988</v>
      </c>
      <c r="F433" s="14" t="n">
        <f aca="false">F431*$B$422</f>
        <v>23493814.1694257</v>
      </c>
      <c r="G433" s="14" t="n">
        <f aca="false">G431*$B$422</f>
        <v>24255619.0139799</v>
      </c>
      <c r="H433" s="14" t="n">
        <f aca="false">H431*$B$422</f>
        <v>25042125.9616919</v>
      </c>
      <c r="I433" s="14" t="n">
        <f aca="false">I431*$B$422</f>
        <v>25854135.9970985</v>
      </c>
      <c r="J433" s="14" t="n">
        <f aca="false">J431*$B$422</f>
        <v>26692476.0772709</v>
      </c>
      <c r="K433" s="14" t="n">
        <f aca="false">K431*$B$422</f>
        <v>27557999.973994</v>
      </c>
      <c r="L433" s="14" t="n">
        <f aca="false">L431*$B$422</f>
        <v>28451589.1432542</v>
      </c>
    </row>
    <row r="434" customFormat="false" ht="15" hidden="false" customHeight="false" outlineLevel="0" collapsed="false">
      <c r="A434" s="5" t="s">
        <v>388</v>
      </c>
      <c r="D434" s="14" t="n">
        <f aca="false">MAX(0,D431*D432-D433)</f>
        <v>8122223.30134947</v>
      </c>
      <c r="E434" s="14" t="n">
        <f aca="false">MAX(0,E431*E432-E433)</f>
        <v>11278860.0255498</v>
      </c>
      <c r="F434" s="14" t="n">
        <f aca="false">MAX(0,F431*F432-F433)</f>
        <v>14604907.1876842</v>
      </c>
      <c r="G434" s="14" t="n">
        <f aca="false">MAX(0,G431*G432-G433)</f>
        <v>18060000.3923039</v>
      </c>
      <c r="H434" s="14" t="n">
        <f aca="false">MAX(0,H431*H432-H433)</f>
        <v>21602604.8063427</v>
      </c>
      <c r="I434" s="14" t="n">
        <f aca="false">MAX(0,I431*I432-I433)</f>
        <v>25192698.9707535</v>
      </c>
      <c r="J434" s="14" t="n">
        <f aca="false">MAX(0,J431*J432-J433)</f>
        <v>28794083.0357268</v>
      </c>
      <c r="K434" s="14" t="n">
        <f aca="false">MAX(0,K431*K432-K433)</f>
        <v>32376082.1562554</v>
      </c>
      <c r="L434" s="14" t="n">
        <f aca="false">MAX(0,L431*L432-L433)</f>
        <v>35914544.0515166</v>
      </c>
    </row>
    <row r="435" customFormat="false" ht="15" hidden="false" customHeight="false" outlineLevel="0" collapsed="false">
      <c r="A435" s="5" t="s">
        <v>389</v>
      </c>
      <c r="D435" s="47" t="n">
        <f aca="false">Inputs!$D$41</f>
        <v>0.1</v>
      </c>
      <c r="E435" s="47" t="n">
        <f aca="false">Inputs!$D$42</f>
        <v>0.35</v>
      </c>
      <c r="F435" s="47" t="n">
        <f aca="false">Inputs!$D$43</f>
        <v>0.65</v>
      </c>
      <c r="G435" s="47" t="n">
        <f aca="false">Inputs!$D$44</f>
        <v>1</v>
      </c>
      <c r="H435" s="47" t="n">
        <f aca="false">Inputs!$D$44</f>
        <v>1</v>
      </c>
      <c r="I435" s="47" t="n">
        <f aca="false">Inputs!$D$44</f>
        <v>1</v>
      </c>
      <c r="J435" s="47" t="n">
        <f aca="false">Inputs!$D$44</f>
        <v>1</v>
      </c>
      <c r="K435" s="47" t="n">
        <f aca="false">Inputs!$D$44</f>
        <v>1</v>
      </c>
      <c r="L435" s="47" t="n">
        <f aca="false">Inputs!$D$44</f>
        <v>1</v>
      </c>
    </row>
    <row r="436" customFormat="false" ht="15" hidden="false" customHeight="false" outlineLevel="0" collapsed="false">
      <c r="A436" s="5" t="s">
        <v>390</v>
      </c>
      <c r="C436" s="14" t="n">
        <v>0</v>
      </c>
      <c r="D436" s="14" t="n">
        <f aca="false">D435*($B$428*D433+$B$429*D434)</f>
        <v>187957.045056939</v>
      </c>
      <c r="E436" s="14" t="n">
        <f aca="false">E435*($B$428*E433+$B$429*E434)</f>
        <v>831077.475144504</v>
      </c>
      <c r="F436" s="14" t="n">
        <f aca="false">F435*($B$428*F433+$B$429*F434)</f>
        <v>1882107.82710301</v>
      </c>
      <c r="G436" s="14" t="n">
        <f aca="false">G435*($B$428*G433+$B$429*G434)</f>
        <v>3436668.62926498</v>
      </c>
      <c r="H436" s="14" t="n">
        <f aca="false">H435*($B$428*H433+$B$429*H434)</f>
        <v>3991654.49980216</v>
      </c>
      <c r="I436" s="14" t="n">
        <f aca="false">I435*($B$428*I433+$B$429*I434)</f>
        <v>4554528.92552598</v>
      </c>
      <c r="J436" s="14" t="n">
        <f aca="false">J435*($B$428*J433+$B$429*J434)</f>
        <v>5119886.73767715</v>
      </c>
      <c r="K436" s="14" t="n">
        <f aca="false">K435*($B$428*K433+$B$429*K434)</f>
        <v>5683152.32265813</v>
      </c>
      <c r="L436" s="14" t="n">
        <f aca="false">L435*($B$428*L433+$B$429*L434)</f>
        <v>6240729.28202511</v>
      </c>
    </row>
    <row r="437" customFormat="false" ht="15" hidden="false" customHeight="false" outlineLevel="0" collapsed="false">
      <c r="A437" s="5" t="s">
        <v>391</v>
      </c>
      <c r="D437" s="11" t="n">
        <f aca="false">D436*$B$425/1000000</f>
        <v>2.75564911828258</v>
      </c>
      <c r="E437" s="11" t="n">
        <f aca="false">E436*$B$425/1000000</f>
        <v>12.1844749735914</v>
      </c>
      <c r="F437" s="11" t="n">
        <f aca="false">F436*$B$425/1000000</f>
        <v>27.5936918070722</v>
      </c>
      <c r="G437" s="11" t="n">
        <f aca="false">G436*$B$425/1000000</f>
        <v>50.385197720014</v>
      </c>
      <c r="H437" s="11" t="n">
        <f aca="false">H436*$B$425/1000000</f>
        <v>58.5218776957062</v>
      </c>
      <c r="I437" s="11" t="n">
        <f aca="false">I436*$B$425/1000000</f>
        <v>66.7742122356527</v>
      </c>
      <c r="J437" s="11" t="n">
        <f aca="false">J436*$B$425/1000000</f>
        <v>75.0629558477721</v>
      </c>
      <c r="K437" s="11" t="n">
        <f aca="false">K436*$B$425/1000000</f>
        <v>83.3210251962317</v>
      </c>
      <c r="L437" s="11" t="n">
        <f aca="false">L436*$B$425/1000000</f>
        <v>91.495693275254</v>
      </c>
    </row>
    <row r="438" customFormat="false" ht="15" hidden="false" customHeight="false" outlineLevel="0" collapsed="false">
      <c r="A438" s="5" t="s">
        <v>392</v>
      </c>
      <c r="D438" s="11" t="n">
        <f aca="false">Inputs!$D$31*MAX(0,D436-C436)/1000000</f>
        <v>0.563871135170816</v>
      </c>
      <c r="E438" s="11" t="n">
        <f aca="false">Inputs!$D$31*MAX(0,E436-D436)/1000000</f>
        <v>1.9293612902627</v>
      </c>
      <c r="F438" s="11" t="n">
        <f aca="false">Inputs!$D$31*MAX(0,F436-E436)/1000000</f>
        <v>3.15309105587552</v>
      </c>
      <c r="G438" s="11" t="n">
        <f aca="false">Inputs!$D$31*MAX(0,G436-F436)/1000000</f>
        <v>4.66368240648591</v>
      </c>
      <c r="H438" s="11" t="n">
        <f aca="false">Inputs!$D$31*MAX(0,H436-G436)/1000000</f>
        <v>1.66495761161155</v>
      </c>
      <c r="I438" s="11" t="n">
        <f aca="false">Inputs!$D$31*MAX(0,I436-H436)/1000000</f>
        <v>1.68862327717144</v>
      </c>
      <c r="J438" s="11" t="n">
        <f aca="false">Inputs!$D$31*MAX(0,J436-I436)/1000000</f>
        <v>1.69607343645351</v>
      </c>
      <c r="K438" s="11" t="n">
        <f aca="false">Inputs!$D$31*MAX(0,K436-J436)/1000000</f>
        <v>1.68979675494294</v>
      </c>
      <c r="L438" s="11" t="n">
        <f aca="false">Inputs!$D$31*MAX(0,L436-K436)/1000000</f>
        <v>1.67273087810094</v>
      </c>
    </row>
    <row r="439" customFormat="false" ht="15" hidden="false" customHeight="false" outlineLevel="0" collapsed="false">
      <c r="A439" s="5" t="s">
        <v>393</v>
      </c>
      <c r="D439" s="11" t="n">
        <f aca="false">Inputs!$D$30*$B$426</f>
        <v>18.2481945283073</v>
      </c>
      <c r="E439" s="11" t="n">
        <f aca="false">Inputs!$D$30*$B$426</f>
        <v>18.2481945283073</v>
      </c>
      <c r="F439" s="11" t="n">
        <f aca="false">Inputs!$D$30*$B$426</f>
        <v>18.2481945283073</v>
      </c>
      <c r="G439" s="11" t="n">
        <f aca="false">Inputs!$D$30*$B$426</f>
        <v>18.2481945283073</v>
      </c>
      <c r="H439" s="11" t="n">
        <f aca="false">Inputs!$D$30*$B$426</f>
        <v>18.2481945283073</v>
      </c>
      <c r="I439" s="11" t="n">
        <f aca="false">Inputs!$D$30*$B$426</f>
        <v>18.2481945283073</v>
      </c>
      <c r="J439" s="11" t="n">
        <f aca="false">Inputs!$D$30*$B$426</f>
        <v>18.2481945283073</v>
      </c>
      <c r="K439" s="11" t="n">
        <f aca="false">Inputs!$D$30*$B$426</f>
        <v>18.2481945283073</v>
      </c>
      <c r="L439" s="11" t="n">
        <f aca="false">Inputs!$D$30*$B$426</f>
        <v>18.2481945283073</v>
      </c>
    </row>
    <row r="440" customFormat="false" ht="15" hidden="false" customHeight="false" outlineLevel="0" collapsed="false">
      <c r="A440" s="5" t="s">
        <v>394</v>
      </c>
      <c r="D440" s="11" t="n">
        <f aca="false">D437*Inputs!$D$29-D438</f>
        <v>0.813953423970473</v>
      </c>
      <c r="E440" s="11" t="n">
        <f aca="false">E437*Inputs!$D$29-E438</f>
        <v>4.16287619653301</v>
      </c>
      <c r="F440" s="11" t="n">
        <f aca="false">F437*Inputs!$D$29-F438</f>
        <v>10.6437548476606</v>
      </c>
      <c r="G440" s="11" t="n">
        <f aca="false">G437*Inputs!$D$29-G438</f>
        <v>20.5289164535211</v>
      </c>
      <c r="H440" s="11" t="n">
        <f aca="false">H437*Inputs!$D$29-H438</f>
        <v>27.5959812362416</v>
      </c>
      <c r="I440" s="11" t="n">
        <f aca="false">I437*Inputs!$D$29-I438</f>
        <v>31.6984828406549</v>
      </c>
      <c r="J440" s="11" t="n">
        <f aca="false">J437*Inputs!$D$29-J438</f>
        <v>35.8354044874325</v>
      </c>
      <c r="K440" s="11" t="n">
        <f aca="false">K437*Inputs!$D$29-K438</f>
        <v>39.9707158431729</v>
      </c>
      <c r="L440" s="11" t="n">
        <f aca="false">L437*Inputs!$D$29-L438</f>
        <v>44.075115759526</v>
      </c>
    </row>
    <row r="441" customFormat="false" ht="15" hidden="false" customHeight="false" outlineLevel="0" collapsed="false">
      <c r="A441" s="5" t="s">
        <v>395</v>
      </c>
      <c r="D441" s="11" t="n">
        <f aca="false">D440-D439</f>
        <v>-17.4342411043368</v>
      </c>
      <c r="E441" s="11" t="n">
        <f aca="false">E440-E439</f>
        <v>-14.0853183317743</v>
      </c>
      <c r="F441" s="11" t="n">
        <f aca="false">F440-F439</f>
        <v>-7.60443968064673</v>
      </c>
      <c r="G441" s="11" t="n">
        <f aca="false">G440-G439</f>
        <v>2.28072192521379</v>
      </c>
      <c r="H441" s="11" t="n">
        <f aca="false">H440-H439</f>
        <v>9.34778670793426</v>
      </c>
      <c r="I441" s="11" t="n">
        <f aca="false">I440-I439</f>
        <v>13.4502883123476</v>
      </c>
      <c r="J441" s="11" t="n">
        <f aca="false">J440-J439</f>
        <v>17.5872099591252</v>
      </c>
      <c r="K441" s="11" t="n">
        <f aca="false">K440-K439</f>
        <v>21.7225213148656</v>
      </c>
      <c r="L441" s="11" t="n">
        <f aca="false">L440-L439</f>
        <v>25.8269212312187</v>
      </c>
    </row>
    <row r="442" customFormat="false" ht="15" hidden="false" customHeight="false" outlineLevel="0" collapsed="false">
      <c r="A442" s="5" t="s">
        <v>396</v>
      </c>
      <c r="D442" s="48" t="n">
        <f aca="false">1/(1+$B$427)^(D430-2026)</f>
        <v>0.858619501533067</v>
      </c>
      <c r="E442" s="48" t="n">
        <f aca="false">1/(1+$B$427)^(E430-2026)</f>
        <v>0.737227448412893</v>
      </c>
      <c r="F442" s="48" t="n">
        <f aca="false">1/(1+$B$427)^(F430-2026)</f>
        <v>0.632997864272773</v>
      </c>
      <c r="G442" s="48" t="n">
        <f aca="false">1/(1+$B$427)^(G430-2026)</f>
        <v>0.543504310693385</v>
      </c>
      <c r="H442" s="48" t="n">
        <f aca="false">1/(1+$B$427)^(H430-2026)</f>
        <v>0.466663400328628</v>
      </c>
      <c r="I442" s="48" t="n">
        <f aca="false">1/(1+$B$427)^(I430-2026)</f>
        <v>0.400686296173892</v>
      </c>
      <c r="J442" s="48" t="n">
        <f aca="false">1/(1+$B$427)^(J430-2026)</f>
        <v>0.344037067891959</v>
      </c>
      <c r="K442" s="48" t="n">
        <f aca="false">1/(1+$B$427)^(K430-2026)</f>
        <v>0.295396935742292</v>
      </c>
      <c r="L442" s="48" t="n">
        <f aca="false">1/(1+$B$427)^(L430-2026)</f>
        <v>0.253633569721442</v>
      </c>
    </row>
    <row r="443" customFormat="false" ht="15" hidden="false" customHeight="false" outlineLevel="0" collapsed="false">
      <c r="A443" s="5" t="s">
        <v>397</v>
      </c>
      <c r="D443" s="11" t="n">
        <f aca="false">D441*D442</f>
        <v>-14.969379406613</v>
      </c>
      <c r="E443" s="11" t="n">
        <f aca="false">E441*E442</f>
        <v>-10.3840832938173</v>
      </c>
      <c r="F443" s="11" t="n">
        <f aca="false">F441*F442</f>
        <v>-4.81359407684051</v>
      </c>
      <c r="G443" s="11" t="n">
        <f aca="false">G441*G442</f>
        <v>1.23958219784661</v>
      </c>
      <c r="H443" s="11" t="n">
        <f aca="false">H441*H442</f>
        <v>4.36226993067135</v>
      </c>
      <c r="I443" s="11" t="n">
        <f aca="false">I441*I442</f>
        <v>5.38934620634555</v>
      </c>
      <c r="J443" s="11" t="n">
        <f aca="false">J441*J442</f>
        <v>6.05065214673769</v>
      </c>
      <c r="K443" s="11" t="n">
        <f aca="false">K441*K442</f>
        <v>6.41676623300792</v>
      </c>
      <c r="L443" s="11" t="n">
        <f aca="false">L441*L442</f>
        <v>6.5505742267885</v>
      </c>
    </row>
    <row r="444" customFormat="false" ht="15" hidden="false" customHeight="false" outlineLevel="0" collapsed="false">
      <c r="A444" s="5" t="s">
        <v>398</v>
      </c>
      <c r="C444" s="11" t="n">
        <f aca="false">-B447</f>
        <v>-30.4136575471789</v>
      </c>
      <c r="D444" s="11" t="n">
        <f aca="false">C444+D441</f>
        <v>-47.8478986515157</v>
      </c>
      <c r="E444" s="11" t="n">
        <f aca="false">D444+E441</f>
        <v>-61.93321698329</v>
      </c>
      <c r="F444" s="11" t="n">
        <f aca="false">E444+F441</f>
        <v>-69.5376566639367</v>
      </c>
      <c r="G444" s="11" t="n">
        <f aca="false">F444+G441</f>
        <v>-67.2569347387229</v>
      </c>
      <c r="H444" s="11" t="n">
        <f aca="false">G444+H441</f>
        <v>-57.9091480307887</v>
      </c>
      <c r="I444" s="11" t="n">
        <f aca="false">H444+I441</f>
        <v>-44.4588597184411</v>
      </c>
      <c r="J444" s="11" t="n">
        <f aca="false">I444+J441</f>
        <v>-26.8716497593159</v>
      </c>
      <c r="K444" s="11" t="n">
        <f aca="false">J444+K441</f>
        <v>-5.14912844445024</v>
      </c>
      <c r="L444" s="11" t="n">
        <f aca="false">K444+L441</f>
        <v>20.6777927867685</v>
      </c>
    </row>
    <row r="445" customFormat="false" ht="15" hidden="false" customHeight="false" outlineLevel="0" collapsed="false">
      <c r="A445" s="5" t="s">
        <v>399</v>
      </c>
      <c r="D445" s="16" t="str">
        <f aca="false">IF(D444&gt;=0,D430,"")</f>
        <v/>
      </c>
      <c r="E445" s="16" t="str">
        <f aca="false">IF(E444&gt;=0,E430,"")</f>
        <v/>
      </c>
      <c r="F445" s="16" t="str">
        <f aca="false">IF(F444&gt;=0,F430,"")</f>
        <v/>
      </c>
      <c r="G445" s="16" t="str">
        <f aca="false">IF(G444&gt;=0,G430,"")</f>
        <v/>
      </c>
      <c r="H445" s="16" t="str">
        <f aca="false">IF(H444&gt;=0,H430,"")</f>
        <v/>
      </c>
      <c r="I445" s="16" t="str">
        <f aca="false">IF(I444&gt;=0,I430,"")</f>
        <v/>
      </c>
      <c r="J445" s="16" t="str">
        <f aca="false">IF(J444&gt;=0,J430,"")</f>
        <v/>
      </c>
      <c r="K445" s="16" t="str">
        <f aca="false">IF(K444&gt;=0,K430,"")</f>
        <v/>
      </c>
      <c r="L445" s="16" t="n">
        <f aca="false">IF(L444&gt;=0,L430,"")</f>
        <v>2035</v>
      </c>
    </row>
    <row r="447" customFormat="false" ht="15" hidden="false" customHeight="false" outlineLevel="0" collapsed="false">
      <c r="A447" s="5" t="s">
        <v>400</v>
      </c>
      <c r="B447" s="11" t="n">
        <f aca="false">Inputs!$D$32*$B$426</f>
        <v>30.4136575471789</v>
      </c>
    </row>
    <row r="448" customFormat="false" ht="15" hidden="false" customHeight="false" outlineLevel="0" collapsed="false">
      <c r="A448" s="7" t="s">
        <v>401</v>
      </c>
      <c r="B448" s="12" t="n">
        <f aca="false">-B447+SUM(D443:L443)+Inputs!$D$33*L441*L442</f>
        <v>2.18134775089046</v>
      </c>
    </row>
    <row r="449" customFormat="false" ht="15" hidden="false" customHeight="false" outlineLevel="0" collapsed="false">
      <c r="A449" s="5" t="s">
        <v>402</v>
      </c>
      <c r="B449" s="11" t="n">
        <f aca="false">-MIN(C444:L444)</f>
        <v>69.5376566639367</v>
      </c>
    </row>
    <row r="450" customFormat="false" ht="15" hidden="false" customHeight="false" outlineLevel="0" collapsed="false">
      <c r="A450" s="5" t="s">
        <v>403</v>
      </c>
      <c r="B450" s="16" t="n">
        <f aca="false">IF(COUNT(C445:L445)=0,"none",MIN(C445:L445))</f>
        <v>2035</v>
      </c>
    </row>
    <row r="451" customFormat="false" ht="15" hidden="false" customHeight="false" outlineLevel="0" collapsed="false">
      <c r="A451" s="5" t="s">
        <v>404</v>
      </c>
      <c r="B451" s="11" t="n">
        <f aca="false">SUMPRODUCT(D437:L437,D442:L442)+Inputs!$D$33*L437*L442</f>
        <v>299.941124384632</v>
      </c>
    </row>
    <row r="452" customFormat="false" ht="15" hidden="false" customHeight="false" outlineLevel="0" collapsed="false">
      <c r="A452" s="5" t="s">
        <v>405</v>
      </c>
      <c r="B452" s="11" t="n">
        <f aca="false">SUMPRODUCT(D438:L438,D442:L442)+Inputs!$D$33*L438*L442</f>
        <v>11.518980375174</v>
      </c>
    </row>
    <row r="453" customFormat="false" ht="15" hidden="false" customHeight="false" outlineLevel="0" collapsed="false">
      <c r="A453" s="5" t="s">
        <v>406</v>
      </c>
      <c r="B453" s="11" t="n">
        <f aca="false">B447+Inputs!$D$30*$B$426*(SUM(D442:L442)+Inputs!$D$33*L442)</f>
        <v>136.270234066251</v>
      </c>
    </row>
    <row r="454" customFormat="false" ht="15" hidden="false" customHeight="false" outlineLevel="0" collapsed="false">
      <c r="A454" s="5" t="s">
        <v>407</v>
      </c>
      <c r="B454" s="11" t="n">
        <f aca="false">Inputs!$D$29*B451-B452-B453</f>
        <v>2.18134775089044</v>
      </c>
    </row>
    <row r="455" customFormat="false" ht="15" hidden="false" customHeight="false" outlineLevel="0" collapsed="false">
      <c r="A455" s="5" t="s">
        <v>408</v>
      </c>
      <c r="B455" s="49" t="n">
        <f aca="false">IF(Inputs!$D$29*B451-B452&gt;0,B453/(Inputs!$D$29*B451-B452),"n/a")</f>
        <v>0.984244688848904</v>
      </c>
    </row>
    <row r="456" customFormat="false" ht="15" hidden="false" customHeight="false" outlineLevel="0" collapsed="false">
      <c r="A456" s="5" t="s">
        <v>409</v>
      </c>
      <c r="B456" s="50" t="n">
        <f aca="false">ABS(B454-B448)</f>
        <v>1.77635683940025E-014</v>
      </c>
    </row>
    <row r="458" customFormat="false" ht="15" hidden="false" customHeight="false" outlineLevel="0" collapsed="false">
      <c r="A458" s="3" t="s">
        <v>420</v>
      </c>
      <c r="B458" s="42" t="n">
        <f aca="false">MATCH(4,Scorecard!$AS$6:$AS$39,0)</f>
        <v>7</v>
      </c>
      <c r="C458" s="3"/>
      <c r="D458" s="3"/>
      <c r="E458" s="3"/>
      <c r="F458" s="3"/>
      <c r="G458" s="3"/>
      <c r="H458" s="3"/>
      <c r="I458" s="3"/>
      <c r="J458" s="3"/>
      <c r="K458" s="3"/>
      <c r="L458" s="3"/>
    </row>
    <row r="459" customFormat="false" ht="15" hidden="false" customHeight="false" outlineLevel="0" collapsed="false">
      <c r="A459" s="5" t="s">
        <v>36</v>
      </c>
      <c r="B459" s="34" t="str">
        <f aca="false">INDEX(Scorecard!$A$6:$A$39,$B$458)</f>
        <v>Congo, Dem. Rep.</v>
      </c>
      <c r="C459" s="34" t="str">
        <f aca="false">INDEX(Scorecard!$B$6:$B$39,$B$458)</f>
        <v>COD</v>
      </c>
    </row>
    <row r="460" customFormat="false" ht="15" hidden="false" customHeight="false" outlineLevel="0" collapsed="false">
      <c r="A460" s="5" t="s">
        <v>191</v>
      </c>
      <c r="B460" s="40" t="n">
        <f aca="false">INDEX(Data!$D$6:$D$39,$B$458)</f>
        <v>57033055</v>
      </c>
    </row>
    <row r="461" customFormat="false" ht="15" hidden="false" customHeight="false" outlineLevel="0" collapsed="false">
      <c r="A461" s="5" t="s">
        <v>203</v>
      </c>
      <c r="B461" s="39" t="n">
        <f aca="false">INDEX(Data!$P$6:$P$39,$B$458)</f>
        <v>3.24257627586721</v>
      </c>
    </row>
    <row r="462" customFormat="false" ht="15" hidden="false" customHeight="false" outlineLevel="0" collapsed="false">
      <c r="A462" s="5" t="s">
        <v>379</v>
      </c>
      <c r="B462" s="36" t="n">
        <f aca="false">INDEX(Data!$E$6:$E$39,$B$458)</f>
        <v>0.351182388076236</v>
      </c>
    </row>
    <row r="463" customFormat="false" ht="15" hidden="false" customHeight="false" outlineLevel="0" collapsed="false">
      <c r="A463" s="5" t="s">
        <v>290</v>
      </c>
      <c r="B463" s="39" t="n">
        <f aca="false">INDEX(Forecast!$E$6:$E$39,$B$458)</f>
        <v>-0.613845935157847</v>
      </c>
    </row>
    <row r="464" customFormat="false" ht="15" hidden="false" customHeight="false" outlineLevel="0" collapsed="false">
      <c r="A464" s="5" t="s">
        <v>380</v>
      </c>
      <c r="B464" s="43" t="n">
        <f aca="false">INDEX(Forecast!$F$6:$F$39,$B$458)*Inputs!$E$16</f>
        <v>0.268090592156415</v>
      </c>
    </row>
    <row r="465" customFormat="false" ht="15" hidden="false" customHeight="false" outlineLevel="0" collapsed="false">
      <c r="A465" s="5" t="s">
        <v>381</v>
      </c>
      <c r="B465" s="44" t="n">
        <f aca="false">INDEX(Pools!$J$6:$J$39,$B$458)</f>
        <v>18.766154098311</v>
      </c>
    </row>
    <row r="466" customFormat="false" ht="15" hidden="false" customHeight="false" outlineLevel="0" collapsed="false">
      <c r="A466" s="5" t="s">
        <v>307</v>
      </c>
      <c r="B466" s="39" t="n">
        <f aca="false">INDEX(Pools!$G$6:$G$39,$B$458)</f>
        <v>1.52068287735894</v>
      </c>
    </row>
    <row r="467" customFormat="false" ht="15" hidden="false" customHeight="false" outlineLevel="0" collapsed="false">
      <c r="A467" s="5" t="s">
        <v>46</v>
      </c>
      <c r="B467" s="36" t="n">
        <f aca="false">INDEX(Scorecard!$AT$6:$AT$39,$B$458)</f>
        <v>0.164660246144535</v>
      </c>
    </row>
    <row r="468" customFormat="false" ht="15" hidden="false" customHeight="false" outlineLevel="0" collapsed="false">
      <c r="A468" s="5" t="s">
        <v>382</v>
      </c>
      <c r="B468" s="36" t="n">
        <f aca="false">Inputs!$E$19</f>
        <v>0.05</v>
      </c>
    </row>
    <row r="469" customFormat="false" ht="15" hidden="false" customHeight="false" outlineLevel="0" collapsed="false">
      <c r="A469" s="5" t="s">
        <v>383</v>
      </c>
      <c r="B469" s="36" t="n">
        <f aca="false">Inputs!$E$18</f>
        <v>0.22</v>
      </c>
    </row>
    <row r="470" customFormat="false" ht="15" hidden="false" customHeight="false" outlineLevel="0" collapsed="false">
      <c r="A470" s="45" t="s">
        <v>384</v>
      </c>
      <c r="B470" s="45"/>
      <c r="C470" s="46" t="n">
        <v>2026</v>
      </c>
      <c r="D470" s="46" t="n">
        <v>2027</v>
      </c>
      <c r="E470" s="46" t="n">
        <v>2028</v>
      </c>
      <c r="F470" s="46" t="n">
        <v>2029</v>
      </c>
      <c r="G470" s="46" t="n">
        <v>2030</v>
      </c>
      <c r="H470" s="46" t="n">
        <v>2031</v>
      </c>
      <c r="I470" s="46" t="n">
        <v>2032</v>
      </c>
      <c r="J470" s="46" t="n">
        <v>2033</v>
      </c>
      <c r="K470" s="46" t="n">
        <v>2034</v>
      </c>
      <c r="L470" s="46" t="n">
        <v>2035</v>
      </c>
    </row>
    <row r="471" customFormat="false" ht="15" hidden="false" customHeight="false" outlineLevel="0" collapsed="false">
      <c r="A471" s="5" t="s">
        <v>385</v>
      </c>
      <c r="D471" s="14" t="n">
        <f aca="false">$B$460*(1+$B$461/100)^(D470-2024)</f>
        <v>62762919.1950846</v>
      </c>
      <c r="E471" s="14" t="n">
        <f aca="false">$B$460*(1+$B$461/100)^(E470-2024)</f>
        <v>64798054.7229461</v>
      </c>
      <c r="F471" s="14" t="n">
        <f aca="false">$B$460*(1+$B$461/100)^(F470-2024)</f>
        <v>66899181.0726158</v>
      </c>
      <c r="G471" s="14" t="n">
        <f aca="false">$B$460*(1+$B$461/100)^(G470-2024)</f>
        <v>69068438.0468259</v>
      </c>
      <c r="H471" s="14" t="n">
        <f aca="false">$B$460*(1+$B$461/100)^(H470-2024)</f>
        <v>71308034.8330443</v>
      </c>
      <c r="I471" s="14" t="n">
        <f aca="false">$B$460*(1+$B$461/100)^(I470-2024)</f>
        <v>73620252.2533277</v>
      </c>
      <c r="J471" s="14" t="n">
        <f aca="false">$B$460*(1+$B$461/100)^(J470-2024)</f>
        <v>76007445.0871277</v>
      </c>
      <c r="K471" s="14" t="n">
        <f aca="false">$B$460*(1+$B$461/100)^(K470-2024)</f>
        <v>78472044.4694157</v>
      </c>
      <c r="L471" s="14" t="n">
        <f aca="false">$B$460*(1+$B$461/100)^(L470-2024)</f>
        <v>81016560.366569</v>
      </c>
    </row>
    <row r="472" customFormat="false" ht="15" hidden="false" customHeight="false" outlineLevel="0" collapsed="false">
      <c r="A472" s="5" t="s">
        <v>386</v>
      </c>
      <c r="D472" s="13" t="n">
        <f aca="false">MIN(1/(1+EXP(-($B$463+$B$464*(D470-2024)))),MAX(Inputs!$D$9,$B$462))</f>
        <v>0.547463121288636</v>
      </c>
      <c r="E472" s="13" t="n">
        <f aca="false">MIN(1/(1+EXP(-($B$463+$B$464*(E470-2024)))),MAX(Inputs!$D$9,$B$462))</f>
        <v>0.61266217396715</v>
      </c>
      <c r="F472" s="13" t="n">
        <f aca="false">MIN(1/(1+EXP(-($B$463+$B$464*(F470-2024)))),MAX(Inputs!$D$9,$B$462))</f>
        <v>0.674060266554829</v>
      </c>
      <c r="G472" s="13" t="n">
        <f aca="false">MIN(1/(1+EXP(-($B$463+$B$464*(G470-2024)))),MAX(Inputs!$D$9,$B$462))</f>
        <v>0.730014790648379</v>
      </c>
      <c r="H472" s="13" t="n">
        <f aca="false">MIN(1/(1+EXP(-($B$463+$B$464*(H470-2024)))),MAX(Inputs!$D$9,$B$462))</f>
        <v>0.779505709160826</v>
      </c>
      <c r="I472" s="13" t="n">
        <f aca="false">MIN(1/(1+EXP(-($B$463+$B$464*(I470-2024)))),MAX(Inputs!$D$9,$B$462))</f>
        <v>0.822134857064001</v>
      </c>
      <c r="J472" s="13" t="n">
        <f aca="false">MIN(1/(1+EXP(-($B$463+$B$464*(J470-2024)))),MAX(Inputs!$D$9,$B$462))</f>
        <v>0.858023433828745</v>
      </c>
      <c r="K472" s="13" t="n">
        <f aca="false">MIN(1/(1+EXP(-($B$463+$B$464*(K470-2024)))),MAX(Inputs!$D$9,$B$462))</f>
        <v>0.887660118339304</v>
      </c>
      <c r="L472" s="13" t="n">
        <f aca="false">MIN(1/(1+EXP(-($B$463+$B$464*(L470-2024)))),MAX(Inputs!$D$9,$B$462))</f>
        <v>0.911746656321818</v>
      </c>
    </row>
    <row r="473" customFormat="false" ht="15" hidden="false" customHeight="false" outlineLevel="0" collapsed="false">
      <c r="A473" s="5" t="s">
        <v>387</v>
      </c>
      <c r="D473" s="14" t="n">
        <f aca="false">D471*$B$462</f>
        <v>22041231.8455656</v>
      </c>
      <c r="E473" s="14" t="n">
        <f aca="false">E471*$B$462</f>
        <v>22755935.6002988</v>
      </c>
      <c r="F473" s="14" t="n">
        <f aca="false">F471*$B$462</f>
        <v>23493814.1694257</v>
      </c>
      <c r="G473" s="14" t="n">
        <f aca="false">G471*$B$462</f>
        <v>24255619.0139799</v>
      </c>
      <c r="H473" s="14" t="n">
        <f aca="false">H471*$B$462</f>
        <v>25042125.9616919</v>
      </c>
      <c r="I473" s="14" t="n">
        <f aca="false">I471*$B$462</f>
        <v>25854135.9970985</v>
      </c>
      <c r="J473" s="14" t="n">
        <f aca="false">J471*$B$462</f>
        <v>26692476.0772709</v>
      </c>
      <c r="K473" s="14" t="n">
        <f aca="false">K471*$B$462</f>
        <v>27557999.973994</v>
      </c>
      <c r="L473" s="14" t="n">
        <f aca="false">L471*$B$462</f>
        <v>28451589.1432542</v>
      </c>
    </row>
    <row r="474" customFormat="false" ht="15" hidden="false" customHeight="false" outlineLevel="0" collapsed="false">
      <c r="A474" s="5" t="s">
        <v>388</v>
      </c>
      <c r="D474" s="14" t="n">
        <f aca="false">MAX(0,D471*D472-D473)</f>
        <v>12319151.7981618</v>
      </c>
      <c r="E474" s="14" t="n">
        <f aca="false">MAX(0,E471*E472-E473)</f>
        <v>16943381.4751037</v>
      </c>
      <c r="F474" s="14" t="n">
        <f aca="false">MAX(0,F471*F472-F473)</f>
        <v>21600265.6566814</v>
      </c>
      <c r="G474" s="14" t="n">
        <f aca="false">MAX(0,G471*G472-G473)</f>
        <v>26165362.3271842</v>
      </c>
      <c r="H474" s="14" t="n">
        <f aca="false">MAX(0,H471*H472-H473)</f>
        <v>30542894.2997051</v>
      </c>
      <c r="I474" s="14" t="n">
        <f aca="false">MAX(0,I471*I472-I473)</f>
        <v>34671639.5662067</v>
      </c>
      <c r="J474" s="14" t="n">
        <f aca="false">MAX(0,J471*J472-J473)</f>
        <v>38523692.9529362</v>
      </c>
      <c r="K474" s="14" t="n">
        <f aca="false">MAX(0,K471*K472-K473)</f>
        <v>42098504.3060546</v>
      </c>
      <c r="L474" s="14" t="n">
        <f aca="false">MAX(0,L471*L472-L473)</f>
        <v>45414988.8776597</v>
      </c>
    </row>
    <row r="475" customFormat="false" ht="15" hidden="false" customHeight="false" outlineLevel="0" collapsed="false">
      <c r="A475" s="5" t="s">
        <v>389</v>
      </c>
      <c r="D475" s="47" t="n">
        <f aca="false">Inputs!$D$41</f>
        <v>0.1</v>
      </c>
      <c r="E475" s="47" t="n">
        <f aca="false">Inputs!$D$42</f>
        <v>0.35</v>
      </c>
      <c r="F475" s="47" t="n">
        <f aca="false">Inputs!$D$43</f>
        <v>0.65</v>
      </c>
      <c r="G475" s="47" t="n">
        <f aca="false">Inputs!$D$44</f>
        <v>1</v>
      </c>
      <c r="H475" s="47" t="n">
        <f aca="false">Inputs!$D$44</f>
        <v>1</v>
      </c>
      <c r="I475" s="47" t="n">
        <f aca="false">Inputs!$D$44</f>
        <v>1</v>
      </c>
      <c r="J475" s="47" t="n">
        <f aca="false">Inputs!$D$44</f>
        <v>1</v>
      </c>
      <c r="K475" s="47" t="n">
        <f aca="false">Inputs!$D$44</f>
        <v>1</v>
      </c>
      <c r="L475" s="47" t="n">
        <f aca="false">Inputs!$D$44</f>
        <v>1</v>
      </c>
    </row>
    <row r="476" customFormat="false" ht="15" hidden="false" customHeight="false" outlineLevel="0" collapsed="false">
      <c r="A476" s="5" t="s">
        <v>390</v>
      </c>
      <c r="C476" s="14" t="n">
        <v>0</v>
      </c>
      <c r="D476" s="14" t="n">
        <f aca="false">D475*($B$468*D473+$B$469*D474)</f>
        <v>381227.498787387</v>
      </c>
      <c r="E476" s="14" t="n">
        <f aca="false">E475*($B$468*E473+$B$469*E474)</f>
        <v>1702869.24658821</v>
      </c>
      <c r="F476" s="14" t="n">
        <f aca="false">F475*($B$468*F473+$B$469*F474)</f>
        <v>3852386.94941178</v>
      </c>
      <c r="G476" s="14" t="n">
        <f aca="false">G475*($B$468*G473+$B$469*G474)</f>
        <v>6969160.66267953</v>
      </c>
      <c r="H476" s="14" t="n">
        <f aca="false">H475*($B$468*H473+$B$469*H474)</f>
        <v>7971543.04401973</v>
      </c>
      <c r="I476" s="14" t="n">
        <f aca="false">I475*($B$468*I473+$B$469*I474)</f>
        <v>8920467.50442041</v>
      </c>
      <c r="J476" s="14" t="n">
        <f aca="false">J475*($B$468*J473+$B$469*J474)</f>
        <v>9809836.2535095</v>
      </c>
      <c r="K476" s="14" t="n">
        <f aca="false">K475*($B$468*K473+$B$469*K474)</f>
        <v>10639570.9460317</v>
      </c>
      <c r="L476" s="14" t="n">
        <f aca="false">L475*($B$468*L473+$B$469*L474)</f>
        <v>11413877.0102479</v>
      </c>
    </row>
    <row r="477" customFormat="false" ht="15" hidden="false" customHeight="false" outlineLevel="0" collapsed="false">
      <c r="A477" s="5" t="s">
        <v>391</v>
      </c>
      <c r="D477" s="11" t="n">
        <f aca="false">D476*$B$465/1000000</f>
        <v>7.15417398875779</v>
      </c>
      <c r="E477" s="11" t="n">
        <f aca="false">E476*$B$465/1000000</f>
        <v>31.9563066907492</v>
      </c>
      <c r="F477" s="11" t="n">
        <f aca="false">F476*$B$465/1000000</f>
        <v>72.2944871389838</v>
      </c>
      <c r="G477" s="11" t="n">
        <f aca="false">G476*$B$465/1000000</f>
        <v>130.784342931731</v>
      </c>
      <c r="H477" s="11" t="n">
        <f aca="false">H476*$B$465/1000000</f>
        <v>149.595205165394</v>
      </c>
      <c r="I477" s="11" t="n">
        <f aca="false">I476*$B$465/1000000</f>
        <v>167.402867816929</v>
      </c>
      <c r="J477" s="11" t="n">
        <f aca="false">J476*$B$465/1000000</f>
        <v>184.092898812557</v>
      </c>
      <c r="K477" s="11" t="n">
        <f aca="false">K476*$B$465/1000000</f>
        <v>199.663827913144</v>
      </c>
      <c r="L477" s="11" t="n">
        <f aca="false">L476*$B$465/1000000</f>
        <v>214.194574833481</v>
      </c>
    </row>
    <row r="478" customFormat="false" ht="15" hidden="false" customHeight="false" outlineLevel="0" collapsed="false">
      <c r="A478" s="5" t="s">
        <v>392</v>
      </c>
      <c r="D478" s="11" t="n">
        <f aca="false">Inputs!$D$31*MAX(0,D476-C476)/1000000</f>
        <v>1.14368249636216</v>
      </c>
      <c r="E478" s="11" t="n">
        <f aca="false">Inputs!$D$31*MAX(0,E476-D476)/1000000</f>
        <v>3.96492524340248</v>
      </c>
      <c r="F478" s="11" t="n">
        <f aca="false">Inputs!$D$31*MAX(0,F476-E476)/1000000</f>
        <v>6.44855310847071</v>
      </c>
      <c r="G478" s="11" t="n">
        <f aca="false">Inputs!$D$31*MAX(0,G476-F476)/1000000</f>
        <v>9.35032113980324</v>
      </c>
      <c r="H478" s="11" t="n">
        <f aca="false">Inputs!$D$31*MAX(0,H476-G476)/1000000</f>
        <v>3.0071471440206</v>
      </c>
      <c r="I478" s="11" t="n">
        <f aca="false">Inputs!$D$31*MAX(0,I476-H476)/1000000</f>
        <v>2.84677338120204</v>
      </c>
      <c r="J478" s="11" t="n">
        <f aca="false">Inputs!$D$31*MAX(0,J476-I476)/1000000</f>
        <v>2.66810624726729</v>
      </c>
      <c r="K478" s="11" t="n">
        <f aca="false">Inputs!$D$31*MAX(0,K476-J476)/1000000</f>
        <v>2.48920407756666</v>
      </c>
      <c r="L478" s="11" t="n">
        <f aca="false">Inputs!$D$31*MAX(0,L476-K476)/1000000</f>
        <v>2.32291819264839</v>
      </c>
    </row>
    <row r="479" customFormat="false" ht="15" hidden="false" customHeight="false" outlineLevel="0" collapsed="false">
      <c r="A479" s="5" t="s">
        <v>393</v>
      </c>
      <c r="D479" s="11" t="n">
        <f aca="false">Inputs!$D$30*$B$466</f>
        <v>18.2481945283073</v>
      </c>
      <c r="E479" s="11" t="n">
        <f aca="false">Inputs!$D$30*$B$466</f>
        <v>18.2481945283073</v>
      </c>
      <c r="F479" s="11" t="n">
        <f aca="false">Inputs!$D$30*$B$466</f>
        <v>18.2481945283073</v>
      </c>
      <c r="G479" s="11" t="n">
        <f aca="false">Inputs!$D$30*$B$466</f>
        <v>18.2481945283073</v>
      </c>
      <c r="H479" s="11" t="n">
        <f aca="false">Inputs!$D$30*$B$466</f>
        <v>18.2481945283073</v>
      </c>
      <c r="I479" s="11" t="n">
        <f aca="false">Inputs!$D$30*$B$466</f>
        <v>18.2481945283073</v>
      </c>
      <c r="J479" s="11" t="n">
        <f aca="false">Inputs!$D$30*$B$466</f>
        <v>18.2481945283073</v>
      </c>
      <c r="K479" s="11" t="n">
        <f aca="false">Inputs!$D$30*$B$466</f>
        <v>18.2481945283073</v>
      </c>
      <c r="L479" s="11" t="n">
        <f aca="false">Inputs!$D$30*$B$466</f>
        <v>18.2481945283073</v>
      </c>
    </row>
    <row r="480" customFormat="false" ht="15" hidden="false" customHeight="false" outlineLevel="0" collapsed="false">
      <c r="A480" s="5" t="s">
        <v>394</v>
      </c>
      <c r="D480" s="11" t="n">
        <f aca="false">D477*Inputs!$D$29-D478</f>
        <v>2.43340449801673</v>
      </c>
      <c r="E480" s="11" t="n">
        <f aca="false">E477*Inputs!$D$29-E478</f>
        <v>12.0132281019721</v>
      </c>
      <c r="F480" s="11" t="n">
        <f aca="false">F477*Inputs!$D$29-F478</f>
        <v>29.6986904610212</v>
      </c>
      <c r="G480" s="11" t="n">
        <f aca="false">G477*Inputs!$D$29-G478</f>
        <v>56.0418503260625</v>
      </c>
      <c r="H480" s="11" t="n">
        <f aca="false">H477*Inputs!$D$29-H478</f>
        <v>71.7904554386762</v>
      </c>
      <c r="I480" s="11" t="n">
        <f aca="false">I477*Inputs!$D$29-I478</f>
        <v>80.8546605272626</v>
      </c>
      <c r="J480" s="11" t="n">
        <f aca="false">J477*Inputs!$D$29-J478</f>
        <v>89.3783431590114</v>
      </c>
      <c r="K480" s="11" t="n">
        <f aca="false">K477*Inputs!$D$29-K478</f>
        <v>97.3427098790054</v>
      </c>
      <c r="L480" s="11" t="n">
        <f aca="false">L477*Inputs!$D$29-L478</f>
        <v>104.774369224092</v>
      </c>
    </row>
    <row r="481" customFormat="false" ht="15" hidden="false" customHeight="false" outlineLevel="0" collapsed="false">
      <c r="A481" s="5" t="s">
        <v>395</v>
      </c>
      <c r="D481" s="11" t="n">
        <f aca="false">D480-D479</f>
        <v>-15.8147900302906</v>
      </c>
      <c r="E481" s="11" t="n">
        <f aca="false">E480-E479</f>
        <v>-6.23496642633519</v>
      </c>
      <c r="F481" s="11" t="n">
        <f aca="false">F480-F479</f>
        <v>11.4504959327139</v>
      </c>
      <c r="G481" s="11" t="n">
        <f aca="false">G480-G479</f>
        <v>37.7936557977551</v>
      </c>
      <c r="H481" s="11" t="n">
        <f aca="false">H480-H479</f>
        <v>53.5422609103689</v>
      </c>
      <c r="I481" s="11" t="n">
        <f aca="false">I480-I479</f>
        <v>62.6064659989553</v>
      </c>
      <c r="J481" s="11" t="n">
        <f aca="false">J480-J479</f>
        <v>71.1301486307041</v>
      </c>
      <c r="K481" s="11" t="n">
        <f aca="false">K480-K479</f>
        <v>79.0945153506981</v>
      </c>
      <c r="L481" s="11" t="n">
        <f aca="false">L480-L479</f>
        <v>86.5261746957847</v>
      </c>
    </row>
    <row r="482" customFormat="false" ht="15" hidden="false" customHeight="false" outlineLevel="0" collapsed="false">
      <c r="A482" s="5" t="s">
        <v>396</v>
      </c>
      <c r="D482" s="48" t="n">
        <f aca="false">1/(1+$B$467)^(D470-2026)</f>
        <v>0.858619501533067</v>
      </c>
      <c r="E482" s="48" t="n">
        <f aca="false">1/(1+$B$467)^(E470-2026)</f>
        <v>0.737227448412893</v>
      </c>
      <c r="F482" s="48" t="n">
        <f aca="false">1/(1+$B$467)^(F470-2026)</f>
        <v>0.632997864272773</v>
      </c>
      <c r="G482" s="48" t="n">
        <f aca="false">1/(1+$B$467)^(G470-2026)</f>
        <v>0.543504310693385</v>
      </c>
      <c r="H482" s="48" t="n">
        <f aca="false">1/(1+$B$467)^(H470-2026)</f>
        <v>0.466663400328628</v>
      </c>
      <c r="I482" s="48" t="n">
        <f aca="false">1/(1+$B$467)^(I470-2026)</f>
        <v>0.400686296173892</v>
      </c>
      <c r="J482" s="48" t="n">
        <f aca="false">1/(1+$B$467)^(J470-2026)</f>
        <v>0.344037067891959</v>
      </c>
      <c r="K482" s="48" t="n">
        <f aca="false">1/(1+$B$467)^(K470-2026)</f>
        <v>0.295396935742292</v>
      </c>
      <c r="L482" s="48" t="n">
        <f aca="false">1/(1+$B$467)^(L470-2026)</f>
        <v>0.253633569721442</v>
      </c>
    </row>
    <row r="483" customFormat="false" ht="15" hidden="false" customHeight="false" outlineLevel="0" collapsed="false">
      <c r="A483" s="5" t="s">
        <v>397</v>
      </c>
      <c r="D483" s="11" t="n">
        <f aca="false">D481*D482</f>
        <v>-13.5788871326582</v>
      </c>
      <c r="E483" s="11" t="n">
        <f aca="false">E481*E482</f>
        <v>-4.59658838942715</v>
      </c>
      <c r="F483" s="11" t="n">
        <f aca="false">F481*F482</f>
        <v>7.24813947027197</v>
      </c>
      <c r="G483" s="11" t="n">
        <f aca="false">G481*G482</f>
        <v>20.541014842942</v>
      </c>
      <c r="H483" s="11" t="n">
        <f aca="false">H481*H482</f>
        <v>24.9862135377153</v>
      </c>
      <c r="I483" s="11" t="n">
        <f aca="false">I481*I482</f>
        <v>25.0855529776581</v>
      </c>
      <c r="J483" s="11" t="n">
        <f aca="false">J481*J482</f>
        <v>24.4714077736266</v>
      </c>
      <c r="K483" s="11" t="n">
        <f aca="false">K481*K482</f>
        <v>23.3642774686179</v>
      </c>
      <c r="L483" s="11" t="n">
        <f aca="false">L481*L482</f>
        <v>21.945942562433</v>
      </c>
    </row>
    <row r="484" customFormat="false" ht="15" hidden="false" customHeight="false" outlineLevel="0" collapsed="false">
      <c r="A484" s="5" t="s">
        <v>398</v>
      </c>
      <c r="C484" s="11" t="n">
        <f aca="false">-B487</f>
        <v>-30.4136575471789</v>
      </c>
      <c r="D484" s="11" t="n">
        <f aca="false">C484+D481</f>
        <v>-46.2284475774694</v>
      </c>
      <c r="E484" s="11" t="n">
        <f aca="false">D484+E481</f>
        <v>-52.4634140038046</v>
      </c>
      <c r="F484" s="11" t="n">
        <f aca="false">E484+F481</f>
        <v>-41.0129180710907</v>
      </c>
      <c r="G484" s="11" t="n">
        <f aca="false">F484+G481</f>
        <v>-3.21926227333558</v>
      </c>
      <c r="H484" s="11" t="n">
        <f aca="false">G484+H481</f>
        <v>50.3229986370333</v>
      </c>
      <c r="I484" s="11" t="n">
        <f aca="false">H484+I481</f>
        <v>112.929464635989</v>
      </c>
      <c r="J484" s="11" t="n">
        <f aca="false">I484+J481</f>
        <v>184.059613266693</v>
      </c>
      <c r="K484" s="11" t="n">
        <f aca="false">J484+K481</f>
        <v>263.154128617391</v>
      </c>
      <c r="L484" s="11" t="n">
        <f aca="false">K484+L481</f>
        <v>349.680303313176</v>
      </c>
    </row>
    <row r="485" customFormat="false" ht="15" hidden="false" customHeight="false" outlineLevel="0" collapsed="false">
      <c r="A485" s="5" t="s">
        <v>399</v>
      </c>
      <c r="D485" s="16" t="str">
        <f aca="false">IF(D484&gt;=0,D470,"")</f>
        <v/>
      </c>
      <c r="E485" s="16" t="str">
        <f aca="false">IF(E484&gt;=0,E470,"")</f>
        <v/>
      </c>
      <c r="F485" s="16" t="str">
        <f aca="false">IF(F484&gt;=0,F470,"")</f>
        <v/>
      </c>
      <c r="G485" s="16" t="str">
        <f aca="false">IF(G484&gt;=0,G470,"")</f>
        <v/>
      </c>
      <c r="H485" s="16" t="n">
        <f aca="false">IF(H484&gt;=0,H470,"")</f>
        <v>2031</v>
      </c>
      <c r="I485" s="16" t="n">
        <f aca="false">IF(I484&gt;=0,I470,"")</f>
        <v>2032</v>
      </c>
      <c r="J485" s="16" t="n">
        <f aca="false">IF(J484&gt;=0,J470,"")</f>
        <v>2033</v>
      </c>
      <c r="K485" s="16" t="n">
        <f aca="false">IF(K484&gt;=0,K470,"")</f>
        <v>2034</v>
      </c>
      <c r="L485" s="16" t="n">
        <f aca="false">IF(L484&gt;=0,L470,"")</f>
        <v>2035</v>
      </c>
    </row>
    <row r="487" customFormat="false" ht="15" hidden="false" customHeight="false" outlineLevel="0" collapsed="false">
      <c r="A487" s="5" t="s">
        <v>400</v>
      </c>
      <c r="B487" s="11" t="n">
        <f aca="false">Inputs!$D$32*$B$466</f>
        <v>30.4136575471789</v>
      </c>
    </row>
    <row r="488" customFormat="false" ht="15" hidden="false" customHeight="false" outlineLevel="0" collapsed="false">
      <c r="A488" s="7" t="s">
        <v>401</v>
      </c>
      <c r="B488" s="12" t="n">
        <f aca="false">-B487+SUM(D483:L483)+Inputs!$D$33*L481*L482</f>
        <v>208.783128376165</v>
      </c>
    </row>
    <row r="489" customFormat="false" ht="15" hidden="false" customHeight="false" outlineLevel="0" collapsed="false">
      <c r="A489" s="5" t="s">
        <v>402</v>
      </c>
      <c r="B489" s="11" t="n">
        <f aca="false">-MIN(C484:L484)</f>
        <v>52.4634140038046</v>
      </c>
    </row>
    <row r="490" customFormat="false" ht="15" hidden="false" customHeight="false" outlineLevel="0" collapsed="false">
      <c r="A490" s="5" t="s">
        <v>403</v>
      </c>
      <c r="B490" s="16" t="n">
        <f aca="false">IF(COUNT(C485:L485)=0,"none",MIN(C485:L485))</f>
        <v>2031</v>
      </c>
    </row>
    <row r="491" customFormat="false" ht="15" hidden="false" customHeight="false" outlineLevel="0" collapsed="false">
      <c r="A491" s="5" t="s">
        <v>404</v>
      </c>
      <c r="B491" s="11" t="n">
        <f aca="false">SUMPRODUCT(D477:L477,D482:L482)+Inputs!$D$33*L477*L482</f>
        <v>731.709003899709</v>
      </c>
    </row>
    <row r="492" customFormat="false" ht="15" hidden="false" customHeight="false" outlineLevel="0" collapsed="false">
      <c r="A492" s="5" t="s">
        <v>405</v>
      </c>
      <c r="B492" s="11" t="n">
        <f aca="false">SUMPRODUCT(D478:L478,D482:L482)+Inputs!$D$33*L478*L482</f>
        <v>20.8011395074378</v>
      </c>
    </row>
    <row r="493" customFormat="false" ht="15" hidden="false" customHeight="false" outlineLevel="0" collapsed="false">
      <c r="A493" s="5" t="s">
        <v>406</v>
      </c>
      <c r="B493" s="11" t="n">
        <f aca="false">B487+Inputs!$D$30*$B$466*(SUM(D482:L482)+Inputs!$D$33*L482)</f>
        <v>136.270234066251</v>
      </c>
    </row>
    <row r="494" customFormat="false" ht="15" hidden="false" customHeight="false" outlineLevel="0" collapsed="false">
      <c r="A494" s="5" t="s">
        <v>407</v>
      </c>
      <c r="B494" s="11" t="n">
        <f aca="false">Inputs!$D$29*B491-B492-B493</f>
        <v>208.783128376165</v>
      </c>
    </row>
    <row r="495" customFormat="false" ht="15" hidden="false" customHeight="false" outlineLevel="0" collapsed="false">
      <c r="A495" s="5" t="s">
        <v>408</v>
      </c>
      <c r="B495" s="49" t="n">
        <f aca="false">IF(Inputs!$D$29*B491-B492&gt;0,B493/(Inputs!$D$29*B491-B492),"n/a")</f>
        <v>0.394925101154441</v>
      </c>
    </row>
    <row r="496" customFormat="false" ht="15" hidden="false" customHeight="false" outlineLevel="0" collapsed="false">
      <c r="A496" s="5" t="s">
        <v>409</v>
      </c>
      <c r="B496" s="50" t="n">
        <f aca="false">ABS(B494-B488)</f>
        <v>0</v>
      </c>
    </row>
    <row r="498" customFormat="false" ht="15" hidden="false" customHeight="false" outlineLevel="0" collapsed="false">
      <c r="A498" s="3" t="s">
        <v>421</v>
      </c>
      <c r="B498" s="42" t="n">
        <f aca="false">MATCH(5,Scorecard!$AS$6:$AS$39,0)</f>
        <v>1</v>
      </c>
      <c r="C498" s="3"/>
      <c r="D498" s="3"/>
      <c r="E498" s="3"/>
      <c r="F498" s="3"/>
      <c r="G498" s="3"/>
      <c r="H498" s="3"/>
      <c r="I498" s="3"/>
      <c r="J498" s="3"/>
      <c r="K498" s="3"/>
      <c r="L498" s="3"/>
    </row>
    <row r="499" customFormat="false" ht="15" hidden="false" customHeight="false" outlineLevel="0" collapsed="false">
      <c r="A499" s="5" t="s">
        <v>36</v>
      </c>
      <c r="B499" s="34" t="str">
        <f aca="false">INDEX(Scorecard!$A$6:$A$39,$B$498)</f>
        <v>Benin</v>
      </c>
      <c r="C499" s="34" t="str">
        <f aca="false">INDEX(Scorecard!$B$6:$B$39,$B$498)</f>
        <v>BEN</v>
      </c>
    </row>
    <row r="500" customFormat="false" ht="15" hidden="false" customHeight="false" outlineLevel="0" collapsed="false">
      <c r="A500" s="5" t="s">
        <v>191</v>
      </c>
      <c r="B500" s="40" t="n">
        <f aca="false">INDEX(Data!$D$6:$D$39,$B$498)</f>
        <v>8207504</v>
      </c>
    </row>
    <row r="501" customFormat="false" ht="15" hidden="false" customHeight="false" outlineLevel="0" collapsed="false">
      <c r="A501" s="5" t="s">
        <v>203</v>
      </c>
      <c r="B501" s="39" t="n">
        <f aca="false">INDEX(Data!$P$6:$P$39,$B$498)</f>
        <v>2.46175361912328</v>
      </c>
    </row>
    <row r="502" customFormat="false" ht="15" hidden="false" customHeight="false" outlineLevel="0" collapsed="false">
      <c r="A502" s="5" t="s">
        <v>379</v>
      </c>
      <c r="B502" s="36" t="n">
        <f aca="false">INDEX(Data!$E$6:$E$39,$B$498)</f>
        <v>0.448728519417161</v>
      </c>
    </row>
    <row r="503" customFormat="false" ht="15" hidden="false" customHeight="false" outlineLevel="0" collapsed="false">
      <c r="A503" s="5" t="s">
        <v>290</v>
      </c>
      <c r="B503" s="39" t="n">
        <f aca="false">INDEX(Forecast!$E$6:$E$39,$B$498)</f>
        <v>-0.20580932198283</v>
      </c>
    </row>
    <row r="504" customFormat="false" ht="15" hidden="false" customHeight="false" outlineLevel="0" collapsed="false">
      <c r="A504" s="5" t="s">
        <v>380</v>
      </c>
      <c r="B504" s="43" t="n">
        <f aca="false">INDEX(Forecast!$F$6:$F$39,$B$498)*Inputs!$C$16</f>
        <v>0.0893635307188049</v>
      </c>
    </row>
    <row r="505" customFormat="false" ht="15" hidden="false" customHeight="false" outlineLevel="0" collapsed="false">
      <c r="A505" s="5" t="s">
        <v>381</v>
      </c>
      <c r="B505" s="44" t="n">
        <f aca="false">INDEX(Pools!$H$6:$H$39,$B$498)</f>
        <v>11.6101254959396</v>
      </c>
    </row>
    <row r="506" customFormat="false" ht="15" hidden="false" customHeight="false" outlineLevel="0" collapsed="false">
      <c r="A506" s="5" t="s">
        <v>307</v>
      </c>
      <c r="B506" s="39" t="n">
        <f aca="false">INDEX(Pools!$G$6:$G$39,$B$498)</f>
        <v>0.700281160782888</v>
      </c>
    </row>
    <row r="507" customFormat="false" ht="15" hidden="false" customHeight="false" outlineLevel="0" collapsed="false">
      <c r="A507" s="5" t="s">
        <v>46</v>
      </c>
      <c r="B507" s="36" t="n">
        <f aca="false">INDEX(Scorecard!$AT$6:$AT$39,$B$498)</f>
        <v>0.123757242958631</v>
      </c>
    </row>
    <row r="508" customFormat="false" ht="15" hidden="false" customHeight="false" outlineLevel="0" collapsed="false">
      <c r="A508" s="5" t="s">
        <v>382</v>
      </c>
      <c r="B508" s="36" t="n">
        <f aca="false">Inputs!$C$19</f>
        <v>0.015</v>
      </c>
    </row>
    <row r="509" customFormat="false" ht="15" hidden="false" customHeight="false" outlineLevel="0" collapsed="false">
      <c r="A509" s="5" t="s">
        <v>383</v>
      </c>
      <c r="B509" s="36" t="n">
        <f aca="false">Inputs!$C$18</f>
        <v>0.08</v>
      </c>
    </row>
    <row r="510" customFormat="false" ht="15" hidden="false" customHeight="false" outlineLevel="0" collapsed="false">
      <c r="A510" s="45" t="s">
        <v>384</v>
      </c>
      <c r="B510" s="45"/>
      <c r="C510" s="46" t="n">
        <v>2026</v>
      </c>
      <c r="D510" s="46" t="n">
        <v>2027</v>
      </c>
      <c r="E510" s="46" t="n">
        <v>2028</v>
      </c>
      <c r="F510" s="46" t="n">
        <v>2029</v>
      </c>
      <c r="G510" s="46" t="n">
        <v>2030</v>
      </c>
      <c r="H510" s="46" t="n">
        <v>2031</v>
      </c>
      <c r="I510" s="46" t="n">
        <v>2032</v>
      </c>
      <c r="J510" s="46" t="n">
        <v>2033</v>
      </c>
      <c r="K510" s="46" t="n">
        <v>2034</v>
      </c>
      <c r="L510" s="46" t="n">
        <v>2035</v>
      </c>
    </row>
    <row r="511" customFormat="false" ht="15" hidden="false" customHeight="false" outlineLevel="0" collapsed="false">
      <c r="A511" s="5" t="s">
        <v>385</v>
      </c>
      <c r="D511" s="14" t="n">
        <f aca="false">$B$500*(1+$B$501/100)^(D510-2024)</f>
        <v>8828693.83711088</v>
      </c>
      <c r="E511" s="14" t="n">
        <f aca="false">$B$500*(1+$B$501/100)^(E510-2024)</f>
        <v>9046034.52716727</v>
      </c>
      <c r="F511" s="14" t="n">
        <f aca="false">$B$500*(1+$B$501/100)^(F510-2024)</f>
        <v>9268725.60952695</v>
      </c>
      <c r="G511" s="14" t="n">
        <f aca="false">$B$500*(1+$B$501/100)^(G510-2024)</f>
        <v>9496898.79766609</v>
      </c>
      <c r="H511" s="14" t="n">
        <f aca="false">$B$500*(1+$B$501/100)^(H510-2024)</f>
        <v>9730689.04752211</v>
      </c>
      <c r="I511" s="14" t="n">
        <f aca="false">$B$500*(1+$B$501/100)^(I510-2024)</f>
        <v>9970234.63731512</v>
      </c>
      <c r="J511" s="14" t="n">
        <f aca="false">$B$500*(1+$B$501/100)^(J510-2024)</f>
        <v>10215677.2493343</v>
      </c>
      <c r="K511" s="14" t="n">
        <f aca="false">$B$500*(1+$B$501/100)^(K510-2024)</f>
        <v>10467162.0537377</v>
      </c>
      <c r="L511" s="14" t="n">
        <f aca="false">$B$500*(1+$B$501/100)^(L510-2024)</f>
        <v>10724837.7944151</v>
      </c>
    </row>
    <row r="512" customFormat="false" ht="15" hidden="false" customHeight="false" outlineLevel="0" collapsed="false">
      <c r="A512" s="5" t="s">
        <v>386</v>
      </c>
      <c r="D512" s="13" t="n">
        <f aca="false">MIN(1/(1+EXP(-($B$503+$B$504*(D510-2024)))),MAX(Inputs!$D$9,$B$502))</f>
        <v>0.515565286446076</v>
      </c>
      <c r="E512" s="13" t="n">
        <f aca="false">MIN(1/(1+EXP(-($B$503+$B$504*(E510-2024)))),MAX(Inputs!$D$9,$B$502))</f>
        <v>0.537838715947628</v>
      </c>
      <c r="F512" s="13" t="n">
        <f aca="false">MIN(1/(1+EXP(-($B$503+$B$504*(F510-2024)))),MAX(Inputs!$D$9,$B$502))</f>
        <v>0.559962121760021</v>
      </c>
      <c r="G512" s="13" t="n">
        <f aca="false">MIN(1/(1+EXP(-($B$503+$B$504*(G510-2024)))),MAX(Inputs!$D$9,$B$502))</f>
        <v>0.581849853923165</v>
      </c>
      <c r="H512" s="13" t="n">
        <f aca="false">MIN(1/(1+EXP(-($B$503+$B$504*(H510-2024)))),MAX(Inputs!$D$9,$B$502))</f>
        <v>0.603419930011869</v>
      </c>
      <c r="I512" s="13" t="n">
        <f aca="false">MIN(1/(1+EXP(-($B$503+$B$504*(I510-2024)))),MAX(Inputs!$D$9,$B$502))</f>
        <v>0.624595217421191</v>
      </c>
      <c r="J512" s="13" t="n">
        <f aca="false">MIN(1/(1+EXP(-($B$503+$B$504*(J510-2024)))),MAX(Inputs!$D$9,$B$502))</f>
        <v>0.645304461315823</v>
      </c>
      <c r="K512" s="13" t="n">
        <f aca="false">MIN(1/(1+EXP(-($B$503+$B$504*(K510-2024)))),MAX(Inputs!$D$9,$B$502))</f>
        <v>0.665483131966162</v>
      </c>
      <c r="L512" s="13" t="n">
        <f aca="false">MIN(1/(1+EXP(-($B$503+$B$504*(L510-2024)))),MAX(Inputs!$D$9,$B$502))</f>
        <v>0.685074074409619</v>
      </c>
    </row>
    <row r="513" customFormat="false" ht="15" hidden="false" customHeight="false" outlineLevel="0" collapsed="false">
      <c r="A513" s="5" t="s">
        <v>387</v>
      </c>
      <c r="D513" s="14" t="n">
        <f aca="false">D511*$B$502</f>
        <v>3961686.71391418</v>
      </c>
      <c r="E513" s="14" t="n">
        <f aca="false">E511*$B$502</f>
        <v>4059213.67997229</v>
      </c>
      <c r="F513" s="14" t="n">
        <f aca="false">F511*$B$502</f>
        <v>4159141.51964695</v>
      </c>
      <c r="G513" s="14" t="n">
        <f aca="false">G511*$B$502</f>
        <v>4261529.33653132</v>
      </c>
      <c r="H513" s="14" t="n">
        <f aca="false">H511*$B$502</f>
        <v>4366437.68920338</v>
      </c>
      <c r="I513" s="14" t="n">
        <f aca="false">I511*$B$502</f>
        <v>4473928.62704411</v>
      </c>
      <c r="J513" s="14" t="n">
        <f aca="false">J511*$B$502</f>
        <v>4584065.72693736</v>
      </c>
      <c r="K513" s="14" t="n">
        <f aca="false">K511*$B$502</f>
        <v>4696914.13087323</v>
      </c>
      <c r="L513" s="14" t="n">
        <f aca="false">L511*$B$502</f>
        <v>4812540.58447712</v>
      </c>
    </row>
    <row r="514" customFormat="false" ht="15" hidden="false" customHeight="false" outlineLevel="0" collapsed="false">
      <c r="A514" s="5" t="s">
        <v>388</v>
      </c>
      <c r="D514" s="14" t="n">
        <f aca="false">MAX(0,D511*D512-D513)</f>
        <v>590081.353160597</v>
      </c>
      <c r="E514" s="14" t="n">
        <f aca="false">MAX(0,E511*E512-E513)</f>
        <v>806093.914537268</v>
      </c>
      <c r="F514" s="14" t="n">
        <f aca="false">MAX(0,F511*F512-F513)</f>
        <v>1030993.73867521</v>
      </c>
      <c r="G514" s="14" t="n">
        <f aca="false">MAX(0,G511*G512-G513)</f>
        <v>1264239.84161377</v>
      </c>
      <c r="H514" s="14" t="n">
        <f aca="false">MAX(0,H511*H512-H513)</f>
        <v>1505254.01481967</v>
      </c>
      <c r="I514" s="14" t="n">
        <f aca="false">MAX(0,I511*I512-I513)</f>
        <v>1753432.24399002</v>
      </c>
      <c r="J514" s="14" t="n">
        <f aca="false">MAX(0,J511*J512-J513)</f>
        <v>2008156.37742063</v>
      </c>
      <c r="K514" s="14" t="n">
        <f aca="false">MAX(0,K511*K512-K513)</f>
        <v>2268805.65544553</v>
      </c>
      <c r="L514" s="14" t="n">
        <f aca="false">MAX(0,L511*L512-L513)</f>
        <v>2534767.74072513</v>
      </c>
    </row>
    <row r="515" customFormat="false" ht="15" hidden="false" customHeight="false" outlineLevel="0" collapsed="false">
      <c r="A515" s="5" t="s">
        <v>389</v>
      </c>
      <c r="D515" s="47" t="n">
        <f aca="false">Inputs!$D$41</f>
        <v>0.1</v>
      </c>
      <c r="E515" s="47" t="n">
        <f aca="false">Inputs!$D$42</f>
        <v>0.35</v>
      </c>
      <c r="F515" s="47" t="n">
        <f aca="false">Inputs!$D$43</f>
        <v>0.65</v>
      </c>
      <c r="G515" s="47" t="n">
        <f aca="false">Inputs!$D$44</f>
        <v>1</v>
      </c>
      <c r="H515" s="47" t="n">
        <f aca="false">Inputs!$D$44</f>
        <v>1</v>
      </c>
      <c r="I515" s="47" t="n">
        <f aca="false">Inputs!$D$44</f>
        <v>1</v>
      </c>
      <c r="J515" s="47" t="n">
        <f aca="false">Inputs!$D$44</f>
        <v>1</v>
      </c>
      <c r="K515" s="47" t="n">
        <f aca="false">Inputs!$D$44</f>
        <v>1</v>
      </c>
      <c r="L515" s="47" t="n">
        <f aca="false">Inputs!$D$44</f>
        <v>1</v>
      </c>
    </row>
    <row r="516" customFormat="false" ht="15" hidden="false" customHeight="false" outlineLevel="0" collapsed="false">
      <c r="A516" s="5" t="s">
        <v>390</v>
      </c>
      <c r="C516" s="14" t="n">
        <v>0</v>
      </c>
      <c r="D516" s="14" t="n">
        <f aca="false">D515*($B$508*D513+$B$509*D514)</f>
        <v>10663.180896156</v>
      </c>
      <c r="E516" s="14" t="n">
        <f aca="false">E515*($B$508*E513+$B$509*E514)</f>
        <v>43881.501426898</v>
      </c>
      <c r="F516" s="14" t="n">
        <f aca="false">F515*($B$508*F513+$B$509*F514)</f>
        <v>94163.3042276685</v>
      </c>
      <c r="G516" s="14" t="n">
        <f aca="false">G515*($B$508*G513+$B$509*G514)</f>
        <v>165062.127377072</v>
      </c>
      <c r="H516" s="14" t="n">
        <f aca="false">H515*($B$508*H513+$B$509*H514)</f>
        <v>185916.886523625</v>
      </c>
      <c r="I516" s="14" t="n">
        <f aca="false">I515*($B$508*I513+$B$509*I514)</f>
        <v>207383.508924863</v>
      </c>
      <c r="J516" s="14" t="n">
        <f aca="false">J515*($B$508*J513+$B$509*J514)</f>
        <v>229413.49609771</v>
      </c>
      <c r="K516" s="14" t="n">
        <f aca="false">K515*($B$508*K513+$B$509*K514)</f>
        <v>251958.164398741</v>
      </c>
      <c r="L516" s="14" t="n">
        <f aca="false">L515*($B$508*L513+$B$509*L514)</f>
        <v>274969.528025168</v>
      </c>
    </row>
    <row r="517" customFormat="false" ht="15" hidden="false" customHeight="false" outlineLevel="0" collapsed="false">
      <c r="A517" s="5" t="s">
        <v>391</v>
      </c>
      <c r="D517" s="11" t="n">
        <f aca="false">D516*$B$505/1000000</f>
        <v>0.123800868390277</v>
      </c>
      <c r="E517" s="11" t="n">
        <f aca="false">E516*$B$505/1000000</f>
        <v>0.509469738516539</v>
      </c>
      <c r="F517" s="11" t="n">
        <f aca="false">F516*$B$505/1000000</f>
        <v>1.09324777919557</v>
      </c>
      <c r="G517" s="11" t="n">
        <f aca="false">G516*$B$505/1000000</f>
        <v>1.91639201347457</v>
      </c>
      <c r="H517" s="11" t="n">
        <f aca="false">H516*$B$505/1000000</f>
        <v>2.15851838435364</v>
      </c>
      <c r="I517" s="11" t="n">
        <f aca="false">I516*$B$505/1000000</f>
        <v>2.40774856440597</v>
      </c>
      <c r="J517" s="11" t="n">
        <f aca="false">J516*$B$505/1000000</f>
        <v>2.66351948015667</v>
      </c>
      <c r="K517" s="11" t="n">
        <f aca="false">K516*$B$505/1000000</f>
        <v>2.92526590839596</v>
      </c>
      <c r="L517" s="11" t="n">
        <f aca="false">L516*$B$505/1000000</f>
        <v>3.19243072793148</v>
      </c>
    </row>
    <row r="518" customFormat="false" ht="15" hidden="false" customHeight="false" outlineLevel="0" collapsed="false">
      <c r="A518" s="5" t="s">
        <v>392</v>
      </c>
      <c r="D518" s="11" t="n">
        <f aca="false">Inputs!$D$31*MAX(0,D516-C516)/1000000</f>
        <v>0.0319895426884681</v>
      </c>
      <c r="E518" s="11" t="n">
        <f aca="false">Inputs!$D$31*MAX(0,E516-D516)/1000000</f>
        <v>0.0996549615922259</v>
      </c>
      <c r="F518" s="11" t="n">
        <f aca="false">Inputs!$D$31*MAX(0,F516-E516)/1000000</f>
        <v>0.150845408402311</v>
      </c>
      <c r="G518" s="11" t="n">
        <f aca="false">Inputs!$D$31*MAX(0,G516-F516)/1000000</f>
        <v>0.21269646944821</v>
      </c>
      <c r="H518" s="11" t="n">
        <f aca="false">Inputs!$D$31*MAX(0,H516-G516)/1000000</f>
        <v>0.0625642774396585</v>
      </c>
      <c r="I518" s="11" t="n">
        <f aca="false">Inputs!$D$31*MAX(0,I516-H516)/1000000</f>
        <v>0.0643998672037147</v>
      </c>
      <c r="J518" s="11" t="n">
        <f aca="false">Inputs!$D$31*MAX(0,J516-I516)/1000000</f>
        <v>0.0660899615185428</v>
      </c>
      <c r="K518" s="11" t="n">
        <f aca="false">Inputs!$D$31*MAX(0,K516-J516)/1000000</f>
        <v>0.0676340049030902</v>
      </c>
      <c r="L518" s="11" t="n">
        <f aca="false">Inputs!$D$31*MAX(0,L516-K516)/1000000</f>
        <v>0.0690340908792811</v>
      </c>
    </row>
    <row r="519" customFormat="false" ht="15" hidden="false" customHeight="false" outlineLevel="0" collapsed="false">
      <c r="A519" s="5" t="s">
        <v>393</v>
      </c>
      <c r="D519" s="11" t="n">
        <f aca="false">Inputs!$D$30*$B$506</f>
        <v>8.40337392939465</v>
      </c>
      <c r="E519" s="11" t="n">
        <f aca="false">Inputs!$D$30*$B$506</f>
        <v>8.40337392939465</v>
      </c>
      <c r="F519" s="11" t="n">
        <f aca="false">Inputs!$D$30*$B$506</f>
        <v>8.40337392939465</v>
      </c>
      <c r="G519" s="11" t="n">
        <f aca="false">Inputs!$D$30*$B$506</f>
        <v>8.40337392939465</v>
      </c>
      <c r="H519" s="11" t="n">
        <f aca="false">Inputs!$D$30*$B$506</f>
        <v>8.40337392939465</v>
      </c>
      <c r="I519" s="11" t="n">
        <f aca="false">Inputs!$D$30*$B$506</f>
        <v>8.40337392939465</v>
      </c>
      <c r="J519" s="11" t="n">
        <f aca="false">Inputs!$D$30*$B$506</f>
        <v>8.40337392939465</v>
      </c>
      <c r="K519" s="11" t="n">
        <f aca="false">Inputs!$D$30*$B$506</f>
        <v>8.40337392939465</v>
      </c>
      <c r="L519" s="11" t="n">
        <f aca="false">Inputs!$D$30*$B$506</f>
        <v>8.40337392939465</v>
      </c>
    </row>
    <row r="520" customFormat="false" ht="15" hidden="false" customHeight="false" outlineLevel="0" collapsed="false">
      <c r="A520" s="5" t="s">
        <v>394</v>
      </c>
      <c r="D520" s="11" t="n">
        <f aca="false">D517*Inputs!$D$29-D518</f>
        <v>0.0299108915066706</v>
      </c>
      <c r="E520" s="11" t="n">
        <f aca="false">E517*Inputs!$D$29-E518</f>
        <v>0.155079907666043</v>
      </c>
      <c r="F520" s="11" t="n">
        <f aca="false">F517*Inputs!$D$29-F518</f>
        <v>0.395778481195474</v>
      </c>
      <c r="G520" s="11" t="n">
        <f aca="false">G517*Inputs!$D$29-G518</f>
        <v>0.745499537289076</v>
      </c>
      <c r="H520" s="11" t="n">
        <f aca="false">H517*Inputs!$D$29-H518</f>
        <v>1.01669491473716</v>
      </c>
      <c r="I520" s="11" t="n">
        <f aca="false">I517*Inputs!$D$29-I518</f>
        <v>1.13947441499927</v>
      </c>
      <c r="J520" s="11" t="n">
        <f aca="false">J517*Inputs!$D$29-J518</f>
        <v>1.26566977855979</v>
      </c>
      <c r="K520" s="11" t="n">
        <f aca="false">K517*Inputs!$D$29-K518</f>
        <v>1.39499894929489</v>
      </c>
      <c r="L520" s="11" t="n">
        <f aca="false">L517*Inputs!$D$29-L518</f>
        <v>1.52718127308646</v>
      </c>
    </row>
    <row r="521" customFormat="false" ht="15" hidden="false" customHeight="false" outlineLevel="0" collapsed="false">
      <c r="A521" s="5" t="s">
        <v>395</v>
      </c>
      <c r="D521" s="11" t="n">
        <f aca="false">D520-D519</f>
        <v>-8.37346303788798</v>
      </c>
      <c r="E521" s="11" t="n">
        <f aca="false">E520-E519</f>
        <v>-8.24829402172861</v>
      </c>
      <c r="F521" s="11" t="n">
        <f aca="false">F520-F519</f>
        <v>-8.00759544819918</v>
      </c>
      <c r="G521" s="11" t="n">
        <f aca="false">G520-G519</f>
        <v>-7.65787439210557</v>
      </c>
      <c r="H521" s="11" t="n">
        <f aca="false">H520-H519</f>
        <v>-7.38667901465749</v>
      </c>
      <c r="I521" s="11" t="n">
        <f aca="false">I520-I519</f>
        <v>-7.26389951439538</v>
      </c>
      <c r="J521" s="11" t="n">
        <f aca="false">J520-J519</f>
        <v>-7.13770415083486</v>
      </c>
      <c r="K521" s="11" t="n">
        <f aca="false">K520-K519</f>
        <v>-7.00837498009976</v>
      </c>
      <c r="L521" s="11" t="n">
        <f aca="false">L520-L519</f>
        <v>-6.87619265630819</v>
      </c>
    </row>
    <row r="522" customFormat="false" ht="15" hidden="false" customHeight="false" outlineLevel="0" collapsed="false">
      <c r="A522" s="5" t="s">
        <v>396</v>
      </c>
      <c r="D522" s="48" t="n">
        <f aca="false">1/(1+$B$507)^(D510-2026)</f>
        <v>0.889871906291075</v>
      </c>
      <c r="E522" s="48" t="n">
        <f aca="false">1/(1+$B$507)^(E510-2026)</f>
        <v>0.791872009606112</v>
      </c>
      <c r="F522" s="48" t="n">
        <f aca="false">1/(1+$B$507)^(F510-2026)</f>
        <v>0.704664654726736</v>
      </c>
      <c r="G522" s="48" t="n">
        <f aca="false">1/(1+$B$507)^(G510-2026)</f>
        <v>0.627061279597623</v>
      </c>
      <c r="H522" s="48" t="n">
        <f aca="false">1/(1+$B$507)^(H510-2026)</f>
        <v>0.558004216236858</v>
      </c>
      <c r="I522" s="48" t="n">
        <f aca="false">1/(1+$B$507)^(I510-2026)</f>
        <v>0.49655227562115</v>
      </c>
      <c r="J522" s="48" t="n">
        <f aca="false">1/(1+$B$507)^(J510-2026)</f>
        <v>0.441867920080164</v>
      </c>
      <c r="K522" s="48" t="n">
        <f aca="false">1/(1+$B$507)^(K510-2026)</f>
        <v>0.393205848370608</v>
      </c>
      <c r="L522" s="48" t="n">
        <f aca="false">1/(1+$B$507)^(L510-2026)</f>
        <v>0.349902837854353</v>
      </c>
    </row>
    <row r="523" customFormat="false" ht="15" hidden="false" customHeight="false" outlineLevel="0" collapsed="false">
      <c r="A523" s="5" t="s">
        <v>397</v>
      </c>
      <c r="D523" s="11" t="n">
        <f aca="false">D521*D522</f>
        <v>-7.45130951578324</v>
      </c>
      <c r="E523" s="11" t="n">
        <f aca="false">E521*E522</f>
        <v>-6.53159316280832</v>
      </c>
      <c r="F523" s="11" t="n">
        <f aca="false">F521*F522</f>
        <v>-5.64266948169666</v>
      </c>
      <c r="G523" s="11" t="n">
        <f aca="false">G521*G522</f>
        <v>-4.80195651531159</v>
      </c>
      <c r="H523" s="11" t="n">
        <f aca="false">H521*H522</f>
        <v>-4.1217980341672</v>
      </c>
      <c r="I523" s="11" t="n">
        <f aca="false">I521*I522</f>
        <v>-3.60690583375639</v>
      </c>
      <c r="J523" s="11" t="n">
        <f aca="false">J521*J522</f>
        <v>-3.15392248727695</v>
      </c>
      <c r="K523" s="11" t="n">
        <f aca="false">K521*K522</f>
        <v>-2.75573402974947</v>
      </c>
      <c r="L523" s="11" t="n">
        <f aca="false">L521*L522</f>
        <v>-2.4059993240755</v>
      </c>
    </row>
    <row r="524" customFormat="false" ht="15" hidden="false" customHeight="false" outlineLevel="0" collapsed="false">
      <c r="A524" s="5" t="s">
        <v>398</v>
      </c>
      <c r="C524" s="11" t="n">
        <f aca="false">-B527</f>
        <v>-14.0056232156578</v>
      </c>
      <c r="D524" s="11" t="n">
        <f aca="false">C524+D521</f>
        <v>-22.3790862535457</v>
      </c>
      <c r="E524" s="11" t="n">
        <f aca="false">D524+E521</f>
        <v>-30.6273802752743</v>
      </c>
      <c r="F524" s="11" t="n">
        <f aca="false">E524+F521</f>
        <v>-38.6349757234735</v>
      </c>
      <c r="G524" s="11" t="n">
        <f aca="false">F524+G521</f>
        <v>-46.2928501155791</v>
      </c>
      <c r="H524" s="11" t="n">
        <f aca="false">G524+H521</f>
        <v>-53.6795291302366</v>
      </c>
      <c r="I524" s="11" t="n">
        <f aca="false">H524+I521</f>
        <v>-60.943428644632</v>
      </c>
      <c r="J524" s="11" t="n">
        <f aca="false">I524+J521</f>
        <v>-68.0811327954668</v>
      </c>
      <c r="K524" s="11" t="n">
        <f aca="false">J524+K521</f>
        <v>-75.0895077755666</v>
      </c>
      <c r="L524" s="11" t="n">
        <f aca="false">K524+L521</f>
        <v>-81.9657004318748</v>
      </c>
    </row>
    <row r="525" customFormat="false" ht="15" hidden="false" customHeight="false" outlineLevel="0" collapsed="false">
      <c r="A525" s="5" t="s">
        <v>399</v>
      </c>
      <c r="D525" s="16" t="str">
        <f aca="false">IF(D524&gt;=0,D510,"")</f>
        <v/>
      </c>
      <c r="E525" s="16" t="str">
        <f aca="false">IF(E524&gt;=0,E510,"")</f>
        <v/>
      </c>
      <c r="F525" s="16" t="str">
        <f aca="false">IF(F524&gt;=0,F510,"")</f>
        <v/>
      </c>
      <c r="G525" s="16" t="str">
        <f aca="false">IF(G524&gt;=0,G510,"")</f>
        <v/>
      </c>
      <c r="H525" s="16" t="str">
        <f aca="false">IF(H524&gt;=0,H510,"")</f>
        <v/>
      </c>
      <c r="I525" s="16" t="str">
        <f aca="false">IF(I524&gt;=0,I510,"")</f>
        <v/>
      </c>
      <c r="J525" s="16" t="str">
        <f aca="false">IF(J524&gt;=0,J510,"")</f>
        <v/>
      </c>
      <c r="K525" s="16" t="str">
        <f aca="false">IF(K524&gt;=0,K510,"")</f>
        <v/>
      </c>
      <c r="L525" s="16" t="str">
        <f aca="false">IF(L524&gt;=0,L510,"")</f>
        <v/>
      </c>
    </row>
    <row r="527" customFormat="false" ht="15" hidden="false" customHeight="false" outlineLevel="0" collapsed="false">
      <c r="A527" s="5" t="s">
        <v>400</v>
      </c>
      <c r="B527" s="11" t="n">
        <f aca="false">Inputs!$D$32*$B$506</f>
        <v>14.0056232156578</v>
      </c>
    </row>
    <row r="528" customFormat="false" ht="15" hidden="false" customHeight="false" outlineLevel="0" collapsed="false">
      <c r="A528" s="7" t="s">
        <v>401</v>
      </c>
      <c r="B528" s="12" t="n">
        <f aca="false">-B527+SUM(D523:L523)+Inputs!$D$33*L521*L522</f>
        <v>-66.5075082206606</v>
      </c>
    </row>
    <row r="529" customFormat="false" ht="15" hidden="false" customHeight="false" outlineLevel="0" collapsed="false">
      <c r="A529" s="5" t="s">
        <v>402</v>
      </c>
      <c r="B529" s="11" t="n">
        <f aca="false">-MIN(C524:L524)</f>
        <v>81.9657004318748</v>
      </c>
    </row>
    <row r="530" customFormat="false" ht="15" hidden="false" customHeight="false" outlineLevel="0" collapsed="false">
      <c r="A530" s="5" t="s">
        <v>403</v>
      </c>
      <c r="B530" s="16" t="str">
        <f aca="false">IF(COUNT(C525:L525)=0,"none",MIN(C525:L525))</f>
        <v>none</v>
      </c>
    </row>
    <row r="531" customFormat="false" ht="15" hidden="false" customHeight="false" outlineLevel="0" collapsed="false">
      <c r="A531" s="5" t="s">
        <v>404</v>
      </c>
      <c r="B531" s="11" t="n">
        <f aca="false">SUMPRODUCT(D517:L517,D522:L522)+Inputs!$D$33*L517*L522</f>
        <v>13.9151043296889</v>
      </c>
    </row>
    <row r="532" customFormat="false" ht="15" hidden="false" customHeight="false" outlineLevel="0" collapsed="false">
      <c r="A532" s="5" t="s">
        <v>405</v>
      </c>
      <c r="B532" s="11" t="n">
        <f aca="false">SUMPRODUCT(D518:L518,D522:L522)+Inputs!$D$33*L518*L522</f>
        <v>0.614667215125821</v>
      </c>
    </row>
    <row r="533" customFormat="false" ht="15" hidden="false" customHeight="false" outlineLevel="0" collapsed="false">
      <c r="A533" s="5" t="s">
        <v>406</v>
      </c>
      <c r="B533" s="11" t="n">
        <f aca="false">B527+Inputs!$D$30*$B$506*(SUM(D522:L522)+Inputs!$D$33*L522)</f>
        <v>72.8503931703792</v>
      </c>
    </row>
    <row r="534" customFormat="false" ht="15" hidden="false" customHeight="false" outlineLevel="0" collapsed="false">
      <c r="A534" s="5" t="s">
        <v>407</v>
      </c>
      <c r="B534" s="11" t="n">
        <f aca="false">Inputs!$D$29*B531-B532-B533</f>
        <v>-66.5075082206605</v>
      </c>
    </row>
    <row r="535" customFormat="false" ht="15" hidden="false" customHeight="false" outlineLevel="0" collapsed="false">
      <c r="A535" s="5" t="s">
        <v>408</v>
      </c>
      <c r="B535" s="49" t="n">
        <f aca="false">IF(Inputs!$D$29*B531-B532&gt;0,B533/(Inputs!$D$29*B531-B532),"n/a")</f>
        <v>11.4853719952166</v>
      </c>
    </row>
    <row r="536" customFormat="false" ht="15" hidden="false" customHeight="false" outlineLevel="0" collapsed="false">
      <c r="A536" s="5" t="s">
        <v>409</v>
      </c>
      <c r="B536" s="50" t="n">
        <f aca="false">ABS(B534-B528)</f>
        <v>0</v>
      </c>
    </row>
    <row r="538" customFormat="false" ht="15" hidden="false" customHeight="false" outlineLevel="0" collapsed="false">
      <c r="A538" s="3" t="s">
        <v>422</v>
      </c>
      <c r="B538" s="42" t="n">
        <f aca="false">MATCH(5,Scorecard!$AS$6:$AS$39,0)</f>
        <v>1</v>
      </c>
      <c r="C538" s="3"/>
      <c r="D538" s="3"/>
      <c r="E538" s="3"/>
      <c r="F538" s="3"/>
      <c r="G538" s="3"/>
      <c r="H538" s="3"/>
      <c r="I538" s="3"/>
      <c r="J538" s="3"/>
      <c r="K538" s="3"/>
      <c r="L538" s="3"/>
    </row>
    <row r="539" customFormat="false" ht="15" hidden="false" customHeight="false" outlineLevel="0" collapsed="false">
      <c r="A539" s="5" t="s">
        <v>36</v>
      </c>
      <c r="B539" s="34" t="str">
        <f aca="false">INDEX(Scorecard!$A$6:$A$39,$B$538)</f>
        <v>Benin</v>
      </c>
      <c r="C539" s="34" t="str">
        <f aca="false">INDEX(Scorecard!$B$6:$B$39,$B$538)</f>
        <v>BEN</v>
      </c>
    </row>
    <row r="540" customFormat="false" ht="15" hidden="false" customHeight="false" outlineLevel="0" collapsed="false">
      <c r="A540" s="5" t="s">
        <v>191</v>
      </c>
      <c r="B540" s="40" t="n">
        <f aca="false">INDEX(Data!$D$6:$D$39,$B$538)</f>
        <v>8207504</v>
      </c>
    </row>
    <row r="541" customFormat="false" ht="15" hidden="false" customHeight="false" outlineLevel="0" collapsed="false">
      <c r="A541" s="5" t="s">
        <v>203</v>
      </c>
      <c r="B541" s="39" t="n">
        <f aca="false">INDEX(Data!$P$6:$P$39,$B$538)</f>
        <v>2.46175361912328</v>
      </c>
    </row>
    <row r="542" customFormat="false" ht="15" hidden="false" customHeight="false" outlineLevel="0" collapsed="false">
      <c r="A542" s="5" t="s">
        <v>379</v>
      </c>
      <c r="B542" s="36" t="n">
        <f aca="false">INDEX(Data!$E$6:$E$39,$B$538)</f>
        <v>0.448728519417161</v>
      </c>
    </row>
    <row r="543" customFormat="false" ht="15" hidden="false" customHeight="false" outlineLevel="0" collapsed="false">
      <c r="A543" s="5" t="s">
        <v>290</v>
      </c>
      <c r="B543" s="39" t="n">
        <f aca="false">INDEX(Forecast!$E$6:$E$39,$B$538)</f>
        <v>-0.20580932198283</v>
      </c>
    </row>
    <row r="544" customFormat="false" ht="15" hidden="false" customHeight="false" outlineLevel="0" collapsed="false">
      <c r="A544" s="5" t="s">
        <v>380</v>
      </c>
      <c r="B544" s="43" t="n">
        <f aca="false">INDEX(Forecast!$F$6:$F$39,$B$538)*Inputs!$D$16</f>
        <v>0.17872706143761</v>
      </c>
    </row>
    <row r="545" customFormat="false" ht="15" hidden="false" customHeight="false" outlineLevel="0" collapsed="false">
      <c r="A545" s="5" t="s">
        <v>381</v>
      </c>
      <c r="B545" s="44" t="n">
        <f aca="false">INDEX(Pools!$I$6:$I$39,$B$538)</f>
        <v>19.3502091598993</v>
      </c>
    </row>
    <row r="546" customFormat="false" ht="15" hidden="false" customHeight="false" outlineLevel="0" collapsed="false">
      <c r="A546" s="5" t="s">
        <v>307</v>
      </c>
      <c r="B546" s="39" t="n">
        <f aca="false">INDEX(Pools!$G$6:$G$39,$B$538)</f>
        <v>0.700281160782888</v>
      </c>
    </row>
    <row r="547" customFormat="false" ht="15" hidden="false" customHeight="false" outlineLevel="0" collapsed="false">
      <c r="A547" s="5" t="s">
        <v>46</v>
      </c>
      <c r="B547" s="36" t="n">
        <f aca="false">INDEX(Scorecard!$AT$6:$AT$39,$B$538)</f>
        <v>0.123757242958631</v>
      </c>
    </row>
    <row r="548" customFormat="false" ht="15" hidden="false" customHeight="false" outlineLevel="0" collapsed="false">
      <c r="A548" s="5" t="s">
        <v>382</v>
      </c>
      <c r="B548" s="36" t="n">
        <f aca="false">Inputs!$D$19</f>
        <v>0.03</v>
      </c>
    </row>
    <row r="549" customFormat="false" ht="15" hidden="false" customHeight="false" outlineLevel="0" collapsed="false">
      <c r="A549" s="5" t="s">
        <v>383</v>
      </c>
      <c r="B549" s="36" t="n">
        <f aca="false">Inputs!$D$18</f>
        <v>0.15</v>
      </c>
    </row>
    <row r="550" customFormat="false" ht="15" hidden="false" customHeight="false" outlineLevel="0" collapsed="false">
      <c r="A550" s="45" t="s">
        <v>384</v>
      </c>
      <c r="B550" s="45"/>
      <c r="C550" s="46" t="n">
        <v>2026</v>
      </c>
      <c r="D550" s="46" t="n">
        <v>2027</v>
      </c>
      <c r="E550" s="46" t="n">
        <v>2028</v>
      </c>
      <c r="F550" s="46" t="n">
        <v>2029</v>
      </c>
      <c r="G550" s="46" t="n">
        <v>2030</v>
      </c>
      <c r="H550" s="46" t="n">
        <v>2031</v>
      </c>
      <c r="I550" s="46" t="n">
        <v>2032</v>
      </c>
      <c r="J550" s="46" t="n">
        <v>2033</v>
      </c>
      <c r="K550" s="46" t="n">
        <v>2034</v>
      </c>
      <c r="L550" s="46" t="n">
        <v>2035</v>
      </c>
    </row>
    <row r="551" customFormat="false" ht="15" hidden="false" customHeight="false" outlineLevel="0" collapsed="false">
      <c r="A551" s="5" t="s">
        <v>385</v>
      </c>
      <c r="D551" s="14" t="n">
        <f aca="false">$B$540*(1+$B$541/100)^(D550-2024)</f>
        <v>8828693.83711088</v>
      </c>
      <c r="E551" s="14" t="n">
        <f aca="false">$B$540*(1+$B$541/100)^(E550-2024)</f>
        <v>9046034.52716727</v>
      </c>
      <c r="F551" s="14" t="n">
        <f aca="false">$B$540*(1+$B$541/100)^(F550-2024)</f>
        <v>9268725.60952695</v>
      </c>
      <c r="G551" s="14" t="n">
        <f aca="false">$B$540*(1+$B$541/100)^(G550-2024)</f>
        <v>9496898.79766609</v>
      </c>
      <c r="H551" s="14" t="n">
        <f aca="false">$B$540*(1+$B$541/100)^(H550-2024)</f>
        <v>9730689.04752211</v>
      </c>
      <c r="I551" s="14" t="n">
        <f aca="false">$B$540*(1+$B$541/100)^(I550-2024)</f>
        <v>9970234.63731512</v>
      </c>
      <c r="J551" s="14" t="n">
        <f aca="false">$B$540*(1+$B$541/100)^(J550-2024)</f>
        <v>10215677.2493343</v>
      </c>
      <c r="K551" s="14" t="n">
        <f aca="false">$B$540*(1+$B$541/100)^(K550-2024)</f>
        <v>10467162.0537377</v>
      </c>
      <c r="L551" s="14" t="n">
        <f aca="false">$B$540*(1+$B$541/100)^(L550-2024)</f>
        <v>10724837.7944151</v>
      </c>
    </row>
    <row r="552" customFormat="false" ht="15" hidden="false" customHeight="false" outlineLevel="0" collapsed="false">
      <c r="A552" s="5" t="s">
        <v>386</v>
      </c>
      <c r="D552" s="13" t="n">
        <f aca="false">MIN(1/(1+EXP(-($B$543+$B$544*(D550-2024)))),MAX(Inputs!$D$9,$B$542))</f>
        <v>0.581849853923165</v>
      </c>
      <c r="E552" s="13" t="n">
        <f aca="false">MIN(1/(1+EXP(-($B$543+$B$544*(E550-2024)))),MAX(Inputs!$D$9,$B$542))</f>
        <v>0.624595217421191</v>
      </c>
      <c r="F552" s="13" t="n">
        <f aca="false">MIN(1/(1+EXP(-($B$543+$B$544*(F550-2024)))),MAX(Inputs!$D$9,$B$542))</f>
        <v>0.665483131966162</v>
      </c>
      <c r="G552" s="13" t="n">
        <f aca="false">MIN(1/(1+EXP(-($B$543+$B$544*(G550-2024)))),MAX(Inputs!$D$9,$B$542))</f>
        <v>0.704027952866859</v>
      </c>
      <c r="H552" s="13" t="n">
        <f aca="false">MIN(1/(1+EXP(-($B$543+$B$544*(H550-2024)))),MAX(Inputs!$D$9,$B$542))</f>
        <v>0.739867520893594</v>
      </c>
      <c r="I552" s="13" t="n">
        <f aca="false">MIN(1/(1+EXP(-($B$543+$B$544*(I550-2024)))),MAX(Inputs!$D$9,$B$542))</f>
        <v>0.772767967926083</v>
      </c>
      <c r="J552" s="13" t="n">
        <f aca="false">MIN(1/(1+EXP(-($B$543+$B$544*(J550-2024)))),MAX(Inputs!$D$9,$B$542))</f>
        <v>0.802617411253398</v>
      </c>
      <c r="K552" s="13" t="n">
        <f aca="false">MIN(1/(1+EXP(-($B$543+$B$544*(K550-2024)))),MAX(Inputs!$D$9,$B$542))</f>
        <v>0.82941137306727</v>
      </c>
      <c r="L552" s="13" t="n">
        <f aca="false">MIN(1/(1+EXP(-($B$543+$B$544*(L550-2024)))),MAX(Inputs!$D$9,$B$542))</f>
        <v>0.853233248616023</v>
      </c>
    </row>
    <row r="553" customFormat="false" ht="15" hidden="false" customHeight="false" outlineLevel="0" collapsed="false">
      <c r="A553" s="5" t="s">
        <v>387</v>
      </c>
      <c r="D553" s="14" t="n">
        <f aca="false">D551*$B$542</f>
        <v>3961686.71391418</v>
      </c>
      <c r="E553" s="14" t="n">
        <f aca="false">E551*$B$542</f>
        <v>4059213.67997229</v>
      </c>
      <c r="F553" s="14" t="n">
        <f aca="false">F551*$B$542</f>
        <v>4159141.51964695</v>
      </c>
      <c r="G553" s="14" t="n">
        <f aca="false">G551*$B$542</f>
        <v>4261529.33653132</v>
      </c>
      <c r="H553" s="14" t="n">
        <f aca="false">H551*$B$542</f>
        <v>4366437.68920338</v>
      </c>
      <c r="I553" s="14" t="n">
        <f aca="false">I551*$B$542</f>
        <v>4473928.62704411</v>
      </c>
      <c r="J553" s="14" t="n">
        <f aca="false">J551*$B$542</f>
        <v>4584065.72693736</v>
      </c>
      <c r="K553" s="14" t="n">
        <f aca="false">K551*$B$542</f>
        <v>4696914.13087323</v>
      </c>
      <c r="L553" s="14" t="n">
        <f aca="false">L551*$B$542</f>
        <v>4812540.58447712</v>
      </c>
    </row>
    <row r="554" customFormat="false" ht="15" hidden="false" customHeight="false" outlineLevel="0" collapsed="false">
      <c r="A554" s="5" t="s">
        <v>388</v>
      </c>
      <c r="D554" s="14" t="n">
        <f aca="false">MAX(0,D551*D552-D553)</f>
        <v>1175287.50554113</v>
      </c>
      <c r="E554" s="14" t="n">
        <f aca="false">MAX(0,E551*E552-E553)</f>
        <v>1590896.22232335</v>
      </c>
      <c r="F554" s="14" t="n">
        <f aca="false">MAX(0,F551*F552-F553)</f>
        <v>2009039.02831601</v>
      </c>
      <c r="G554" s="14" t="n">
        <f aca="false">MAX(0,G551*G552-G553)</f>
        <v>2424552.88257327</v>
      </c>
      <c r="H554" s="14" t="n">
        <f aca="false">MAX(0,H551*H552-H553)</f>
        <v>2832983.09297325</v>
      </c>
      <c r="I554" s="14" t="n">
        <f aca="false">MAX(0,I551*I552-I553)</f>
        <v>3230749.33338014</v>
      </c>
      <c r="J554" s="14" t="n">
        <f aca="false">MAX(0,J551*J552-J553)</f>
        <v>3615214.70112357</v>
      </c>
      <c r="K554" s="14" t="n">
        <f aca="false">MAX(0,K551*K552-K553)</f>
        <v>3984669.12023503</v>
      </c>
      <c r="L554" s="14" t="n">
        <f aca="false">MAX(0,L551*L552-L553)</f>
        <v>4338247.60773162</v>
      </c>
    </row>
    <row r="555" customFormat="false" ht="15" hidden="false" customHeight="false" outlineLevel="0" collapsed="false">
      <c r="A555" s="5" t="s">
        <v>389</v>
      </c>
      <c r="D555" s="47" t="n">
        <f aca="false">Inputs!$D$41</f>
        <v>0.1</v>
      </c>
      <c r="E555" s="47" t="n">
        <f aca="false">Inputs!$D$42</f>
        <v>0.35</v>
      </c>
      <c r="F555" s="47" t="n">
        <f aca="false">Inputs!$D$43</f>
        <v>0.65</v>
      </c>
      <c r="G555" s="47" t="n">
        <f aca="false">Inputs!$D$44</f>
        <v>1</v>
      </c>
      <c r="H555" s="47" t="n">
        <f aca="false">Inputs!$D$44</f>
        <v>1</v>
      </c>
      <c r="I555" s="47" t="n">
        <f aca="false">Inputs!$D$44</f>
        <v>1</v>
      </c>
      <c r="J555" s="47" t="n">
        <f aca="false">Inputs!$D$44</f>
        <v>1</v>
      </c>
      <c r="K555" s="47" t="n">
        <f aca="false">Inputs!$D$44</f>
        <v>1</v>
      </c>
      <c r="L555" s="47" t="n">
        <f aca="false">Inputs!$D$44</f>
        <v>1</v>
      </c>
    </row>
    <row r="556" customFormat="false" ht="15" hidden="false" customHeight="false" outlineLevel="0" collapsed="false">
      <c r="A556" s="5" t="s">
        <v>390</v>
      </c>
      <c r="C556" s="14" t="n">
        <v>0</v>
      </c>
      <c r="D556" s="14" t="n">
        <f aca="false">D555*($B$548*D553+$B$549*D554)</f>
        <v>29514.3727248595</v>
      </c>
      <c r="E556" s="14" t="n">
        <f aca="false">E555*($B$548*E553+$B$549*E554)</f>
        <v>126143.795311685</v>
      </c>
      <c r="F556" s="14" t="n">
        <f aca="false">F555*($B$548*F553+$B$549*F554)</f>
        <v>276984.564893927</v>
      </c>
      <c r="G556" s="14" t="n">
        <f aca="false">G555*($B$548*G553+$B$549*G554)</f>
        <v>491528.812481931</v>
      </c>
      <c r="H556" s="14" t="n">
        <f aca="false">H555*($B$548*H553+$B$549*H554)</f>
        <v>555940.594622089</v>
      </c>
      <c r="I556" s="14" t="n">
        <f aca="false">I555*($B$548*I553+$B$549*I554)</f>
        <v>618830.258818345</v>
      </c>
      <c r="J556" s="14" t="n">
        <f aca="false">J555*($B$548*J553+$B$549*J554)</f>
        <v>679804.176976657</v>
      </c>
      <c r="K556" s="14" t="n">
        <f aca="false">K555*($B$548*K553+$B$549*K554)</f>
        <v>738607.791961451</v>
      </c>
      <c r="L556" s="14" t="n">
        <f aca="false">L555*($B$548*L553+$B$549*L554)</f>
        <v>795113.358694056</v>
      </c>
    </row>
    <row r="557" customFormat="false" ht="15" hidden="false" customHeight="false" outlineLevel="0" collapsed="false">
      <c r="A557" s="5" t="s">
        <v>391</v>
      </c>
      <c r="D557" s="11" t="n">
        <f aca="false">D556*$B$545/1000000</f>
        <v>0.57110928544926</v>
      </c>
      <c r="E557" s="11" t="n">
        <f aca="false">E556*$B$545/1000000</f>
        <v>2.44090882350464</v>
      </c>
      <c r="F557" s="11" t="n">
        <f aca="false">F556*$B$545/1000000</f>
        <v>5.3597092647612</v>
      </c>
      <c r="G557" s="11" t="n">
        <f aca="false">G556*$B$545/1000000</f>
        <v>9.5111853296423</v>
      </c>
      <c r="H557" s="11" t="n">
        <f aca="false">H556*$B$545/1000000</f>
        <v>10.7575667864162</v>
      </c>
      <c r="I557" s="11" t="n">
        <f aca="false">I556*$B$545/1000000</f>
        <v>11.9744949426096</v>
      </c>
      <c r="J557" s="11" t="n">
        <f aca="false">J556*$B$545/1000000</f>
        <v>13.1543530122715</v>
      </c>
      <c r="K557" s="11" t="n">
        <f aca="false">K556*$B$545/1000000</f>
        <v>14.2922152615855</v>
      </c>
      <c r="L557" s="11" t="n">
        <f aca="false">L556*$B$545/1000000</f>
        <v>15.3856097965601</v>
      </c>
    </row>
    <row r="558" customFormat="false" ht="15" hidden="false" customHeight="false" outlineLevel="0" collapsed="false">
      <c r="A558" s="5" t="s">
        <v>392</v>
      </c>
      <c r="D558" s="11" t="n">
        <f aca="false">Inputs!$D$31*MAX(0,D556-C556)/1000000</f>
        <v>0.0885431181745786</v>
      </c>
      <c r="E558" s="11" t="n">
        <f aca="false">Inputs!$D$31*MAX(0,E556-D556)/1000000</f>
        <v>0.289888267760477</v>
      </c>
      <c r="F558" s="11" t="n">
        <f aca="false">Inputs!$D$31*MAX(0,F556-E556)/1000000</f>
        <v>0.452522308746725</v>
      </c>
      <c r="G558" s="11" t="n">
        <f aca="false">Inputs!$D$31*MAX(0,G556-F556)/1000000</f>
        <v>0.643632742764012</v>
      </c>
      <c r="H558" s="11" t="n">
        <f aca="false">Inputs!$D$31*MAX(0,H556-G556)/1000000</f>
        <v>0.193235346420474</v>
      </c>
      <c r="I558" s="11" t="n">
        <f aca="false">Inputs!$D$31*MAX(0,I556-H556)/1000000</f>
        <v>0.188668992588769</v>
      </c>
      <c r="J558" s="11" t="n">
        <f aca="false">Inputs!$D$31*MAX(0,J556-I556)/1000000</f>
        <v>0.182921754474936</v>
      </c>
      <c r="K558" s="11" t="n">
        <f aca="false">Inputs!$D$31*MAX(0,K556-J556)/1000000</f>
        <v>0.176410844954381</v>
      </c>
      <c r="L558" s="11" t="n">
        <f aca="false">Inputs!$D$31*MAX(0,L556-K556)/1000000</f>
        <v>0.169516700197816</v>
      </c>
    </row>
    <row r="559" customFormat="false" ht="15" hidden="false" customHeight="false" outlineLevel="0" collapsed="false">
      <c r="A559" s="5" t="s">
        <v>393</v>
      </c>
      <c r="D559" s="11" t="n">
        <f aca="false">Inputs!$D$30*$B$546</f>
        <v>8.40337392939465</v>
      </c>
      <c r="E559" s="11" t="n">
        <f aca="false">Inputs!$D$30*$B$546</f>
        <v>8.40337392939465</v>
      </c>
      <c r="F559" s="11" t="n">
        <f aca="false">Inputs!$D$30*$B$546</f>
        <v>8.40337392939465</v>
      </c>
      <c r="G559" s="11" t="n">
        <f aca="false">Inputs!$D$30*$B$546</f>
        <v>8.40337392939465</v>
      </c>
      <c r="H559" s="11" t="n">
        <f aca="false">Inputs!$D$30*$B$546</f>
        <v>8.40337392939465</v>
      </c>
      <c r="I559" s="11" t="n">
        <f aca="false">Inputs!$D$30*$B$546</f>
        <v>8.40337392939465</v>
      </c>
      <c r="J559" s="11" t="n">
        <f aca="false">Inputs!$D$30*$B$546</f>
        <v>8.40337392939465</v>
      </c>
      <c r="K559" s="11" t="n">
        <f aca="false">Inputs!$D$30*$B$546</f>
        <v>8.40337392939465</v>
      </c>
      <c r="L559" s="11" t="n">
        <f aca="false">Inputs!$D$30*$B$546</f>
        <v>8.40337392939465</v>
      </c>
    </row>
    <row r="560" customFormat="false" ht="15" hidden="false" customHeight="false" outlineLevel="0" collapsed="false">
      <c r="A560" s="5" t="s">
        <v>394</v>
      </c>
      <c r="D560" s="11" t="n">
        <f aca="false">D557*Inputs!$D$29-D558</f>
        <v>0.197011524550051</v>
      </c>
      <c r="E560" s="11" t="n">
        <f aca="false">E557*Inputs!$D$29-E558</f>
        <v>0.930566143991841</v>
      </c>
      <c r="F560" s="11" t="n">
        <f aca="false">F557*Inputs!$D$29-F558</f>
        <v>2.22733232363387</v>
      </c>
      <c r="G560" s="11" t="n">
        <f aca="false">G557*Inputs!$D$29-G558</f>
        <v>4.11195992205714</v>
      </c>
      <c r="H560" s="11" t="n">
        <f aca="false">H557*Inputs!$D$29-H558</f>
        <v>5.18554804678764</v>
      </c>
      <c r="I560" s="11" t="n">
        <f aca="false">I557*Inputs!$D$29-I558</f>
        <v>5.79857847871604</v>
      </c>
      <c r="J560" s="11" t="n">
        <f aca="false">J557*Inputs!$D$29-J558</f>
        <v>6.39425475166083</v>
      </c>
      <c r="K560" s="11" t="n">
        <f aca="false">K557*Inputs!$D$29-K558</f>
        <v>6.96969678583836</v>
      </c>
      <c r="L560" s="11" t="n">
        <f aca="false">L557*Inputs!$D$29-L558</f>
        <v>7.52328819808221</v>
      </c>
    </row>
    <row r="561" customFormat="false" ht="15" hidden="false" customHeight="false" outlineLevel="0" collapsed="false">
      <c r="A561" s="5" t="s">
        <v>395</v>
      </c>
      <c r="D561" s="11" t="n">
        <f aca="false">D560-D559</f>
        <v>-8.2063624048446</v>
      </c>
      <c r="E561" s="11" t="n">
        <f aca="false">E560-E559</f>
        <v>-7.47280778540281</v>
      </c>
      <c r="F561" s="11" t="n">
        <f aca="false">F560-F559</f>
        <v>-6.17604160576078</v>
      </c>
      <c r="G561" s="11" t="n">
        <f aca="false">G560-G559</f>
        <v>-4.29141400733751</v>
      </c>
      <c r="H561" s="11" t="n">
        <f aca="false">H560-H559</f>
        <v>-3.21782588260701</v>
      </c>
      <c r="I561" s="11" t="n">
        <f aca="false">I560-I559</f>
        <v>-2.60479545067861</v>
      </c>
      <c r="J561" s="11" t="n">
        <f aca="false">J560-J559</f>
        <v>-2.00911917773382</v>
      </c>
      <c r="K561" s="11" t="n">
        <f aca="false">K560-K559</f>
        <v>-1.43367714355629</v>
      </c>
      <c r="L561" s="11" t="n">
        <f aca="false">L560-L559</f>
        <v>-0.880085731312441</v>
      </c>
    </row>
    <row r="562" customFormat="false" ht="15" hidden="false" customHeight="false" outlineLevel="0" collapsed="false">
      <c r="A562" s="5" t="s">
        <v>396</v>
      </c>
      <c r="D562" s="48" t="n">
        <f aca="false">1/(1+$B$547)^(D550-2026)</f>
        <v>0.889871906291075</v>
      </c>
      <c r="E562" s="48" t="n">
        <f aca="false">1/(1+$B$547)^(E550-2026)</f>
        <v>0.791872009606112</v>
      </c>
      <c r="F562" s="48" t="n">
        <f aca="false">1/(1+$B$547)^(F550-2026)</f>
        <v>0.704664654726736</v>
      </c>
      <c r="G562" s="48" t="n">
        <f aca="false">1/(1+$B$547)^(G550-2026)</f>
        <v>0.627061279597623</v>
      </c>
      <c r="H562" s="48" t="n">
        <f aca="false">1/(1+$B$547)^(H550-2026)</f>
        <v>0.558004216236858</v>
      </c>
      <c r="I562" s="48" t="n">
        <f aca="false">1/(1+$B$547)^(I550-2026)</f>
        <v>0.49655227562115</v>
      </c>
      <c r="J562" s="48" t="n">
        <f aca="false">1/(1+$B$547)^(J550-2026)</f>
        <v>0.441867920080164</v>
      </c>
      <c r="K562" s="48" t="n">
        <f aca="false">1/(1+$B$547)^(K550-2026)</f>
        <v>0.393205848370608</v>
      </c>
      <c r="L562" s="48" t="n">
        <f aca="false">1/(1+$B$547)^(L550-2026)</f>
        <v>0.349902837854353</v>
      </c>
    </row>
    <row r="563" customFormat="false" ht="15" hidden="false" customHeight="false" outlineLevel="0" collapsed="false">
      <c r="A563" s="5" t="s">
        <v>397</v>
      </c>
      <c r="D563" s="11" t="n">
        <f aca="false">D561*D562</f>
        <v>-7.30261135691448</v>
      </c>
      <c r="E563" s="11" t="n">
        <f aca="false">E561*E562</f>
        <v>-5.91750731842712</v>
      </c>
      <c r="F563" s="11" t="n">
        <f aca="false">F561*F562</f>
        <v>-4.35203822570138</v>
      </c>
      <c r="G563" s="11" t="n">
        <f aca="false">G561*G562</f>
        <v>-2.69097955872422</v>
      </c>
      <c r="H563" s="11" t="n">
        <f aca="false">H561*H562</f>
        <v>-1.7955604096108</v>
      </c>
      <c r="I563" s="11" t="n">
        <f aca="false">I561*I562</f>
        <v>-1.29341710856208</v>
      </c>
      <c r="J563" s="11" t="n">
        <f aca="false">J561*J562</f>
        <v>-0.887765312258412</v>
      </c>
      <c r="K563" s="11" t="n">
        <f aca="false">K561*K562</f>
        <v>-0.563730237521601</v>
      </c>
      <c r="L563" s="11" t="n">
        <f aca="false">L561*L562</f>
        <v>-0.307944494941347</v>
      </c>
    </row>
    <row r="564" customFormat="false" ht="15" hidden="false" customHeight="false" outlineLevel="0" collapsed="false">
      <c r="A564" s="5" t="s">
        <v>398</v>
      </c>
      <c r="C564" s="11" t="n">
        <f aca="false">-B567</f>
        <v>-14.0056232156578</v>
      </c>
      <c r="D564" s="11" t="n">
        <f aca="false">C564+D561</f>
        <v>-22.2119856205024</v>
      </c>
      <c r="E564" s="11" t="n">
        <f aca="false">D564+E561</f>
        <v>-29.6847934059052</v>
      </c>
      <c r="F564" s="11" t="n">
        <f aca="false">E564+F561</f>
        <v>-35.8608350116659</v>
      </c>
      <c r="G564" s="11" t="n">
        <f aca="false">F564+G561</f>
        <v>-40.1522490190035</v>
      </c>
      <c r="H564" s="11" t="n">
        <f aca="false">G564+H561</f>
        <v>-43.3700749016105</v>
      </c>
      <c r="I564" s="11" t="n">
        <f aca="false">H564+I561</f>
        <v>-45.9748703522891</v>
      </c>
      <c r="J564" s="11" t="n">
        <f aca="false">I564+J561</f>
        <v>-47.9839895300229</v>
      </c>
      <c r="K564" s="11" t="n">
        <f aca="false">J564+K561</f>
        <v>-49.4176666735792</v>
      </c>
      <c r="L564" s="11" t="n">
        <f aca="false">K564+L561</f>
        <v>-50.2977524048916</v>
      </c>
    </row>
    <row r="565" customFormat="false" ht="15" hidden="false" customHeight="false" outlineLevel="0" collapsed="false">
      <c r="A565" s="5" t="s">
        <v>399</v>
      </c>
      <c r="D565" s="16" t="str">
        <f aca="false">IF(D564&gt;=0,D550,"")</f>
        <v/>
      </c>
      <c r="E565" s="16" t="str">
        <f aca="false">IF(E564&gt;=0,E550,"")</f>
        <v/>
      </c>
      <c r="F565" s="16" t="str">
        <f aca="false">IF(F564&gt;=0,F550,"")</f>
        <v/>
      </c>
      <c r="G565" s="16" t="str">
        <f aca="false">IF(G564&gt;=0,G550,"")</f>
        <v/>
      </c>
      <c r="H565" s="16" t="str">
        <f aca="false">IF(H564&gt;=0,H550,"")</f>
        <v/>
      </c>
      <c r="I565" s="16" t="str">
        <f aca="false">IF(I564&gt;=0,I550,"")</f>
        <v/>
      </c>
      <c r="J565" s="16" t="str">
        <f aca="false">IF(J564&gt;=0,J550,"")</f>
        <v/>
      </c>
      <c r="K565" s="16" t="str">
        <f aca="false">IF(K564&gt;=0,K550,"")</f>
        <v/>
      </c>
      <c r="L565" s="16" t="str">
        <f aca="false">IF(L564&gt;=0,L550,"")</f>
        <v/>
      </c>
    </row>
    <row r="567" customFormat="false" ht="15" hidden="false" customHeight="false" outlineLevel="0" collapsed="false">
      <c r="A567" s="5" t="s">
        <v>400</v>
      </c>
      <c r="B567" s="11" t="n">
        <f aca="false">Inputs!$D$32*$B$546</f>
        <v>14.0056232156578</v>
      </c>
    </row>
    <row r="568" customFormat="false" ht="15" hidden="false" customHeight="false" outlineLevel="0" collapsed="false">
      <c r="A568" s="7" t="s">
        <v>401</v>
      </c>
      <c r="B568" s="12" t="n">
        <f aca="false">-B567+SUM(D563:L563)+Inputs!$D$33*L561*L562</f>
        <v>-40.6568997130259</v>
      </c>
    </row>
    <row r="569" customFormat="false" ht="15" hidden="false" customHeight="false" outlineLevel="0" collapsed="false">
      <c r="A569" s="5" t="s">
        <v>402</v>
      </c>
      <c r="B569" s="11" t="n">
        <f aca="false">-MIN(C564:L564)</f>
        <v>50.2977524048916</v>
      </c>
    </row>
    <row r="570" customFormat="false" ht="15" hidden="false" customHeight="false" outlineLevel="0" collapsed="false">
      <c r="A570" s="5" t="s">
        <v>403</v>
      </c>
      <c r="B570" s="16" t="str">
        <f aca="false">IF(COUNT(C565:L565)=0,"none",MIN(C565:L565))</f>
        <v>none</v>
      </c>
    </row>
    <row r="571" customFormat="false" ht="15" hidden="false" customHeight="false" outlineLevel="0" collapsed="false">
      <c r="A571" s="5" t="s">
        <v>404</v>
      </c>
      <c r="B571" s="11" t="n">
        <f aca="false">SUMPRODUCT(D557:L557,D562:L562)+Inputs!$D$33*L557*L562</f>
        <v>67.8638059542743</v>
      </c>
    </row>
    <row r="572" customFormat="false" ht="15" hidden="false" customHeight="false" outlineLevel="0" collapsed="false">
      <c r="A572" s="5" t="s">
        <v>405</v>
      </c>
      <c r="B572" s="11" t="n">
        <f aca="false">SUMPRODUCT(D558:L558,D562:L562)+Inputs!$D$33*L558*L562</f>
        <v>1.73840951978394</v>
      </c>
    </row>
    <row r="573" customFormat="false" ht="15" hidden="false" customHeight="false" outlineLevel="0" collapsed="false">
      <c r="A573" s="5" t="s">
        <v>406</v>
      </c>
      <c r="B573" s="11" t="n">
        <f aca="false">B567+Inputs!$D$30*$B$546*(SUM(D562:L562)+Inputs!$D$33*L562)</f>
        <v>72.8503931703792</v>
      </c>
    </row>
    <row r="574" customFormat="false" ht="15" hidden="false" customHeight="false" outlineLevel="0" collapsed="false">
      <c r="A574" s="5" t="s">
        <v>407</v>
      </c>
      <c r="B574" s="11" t="n">
        <f aca="false">Inputs!$D$29*B571-B572-B573</f>
        <v>-40.6568997130259</v>
      </c>
    </row>
    <row r="575" customFormat="false" ht="15" hidden="false" customHeight="false" outlineLevel="0" collapsed="false">
      <c r="A575" s="5" t="s">
        <v>408</v>
      </c>
      <c r="B575" s="49" t="n">
        <f aca="false">IF(Inputs!$D$29*B571-B572&gt;0,B573/(Inputs!$D$29*B571-B572),"n/a")</f>
        <v>2.26289182523432</v>
      </c>
    </row>
    <row r="576" customFormat="false" ht="15" hidden="false" customHeight="false" outlineLevel="0" collapsed="false">
      <c r="A576" s="5" t="s">
        <v>409</v>
      </c>
      <c r="B576" s="50" t="n">
        <f aca="false">ABS(B574-B568)</f>
        <v>0</v>
      </c>
    </row>
    <row r="578" customFormat="false" ht="15" hidden="false" customHeight="false" outlineLevel="0" collapsed="false">
      <c r="A578" s="3" t="s">
        <v>423</v>
      </c>
      <c r="B578" s="42" t="n">
        <f aca="false">MATCH(5,Scorecard!$AS$6:$AS$39,0)</f>
        <v>1</v>
      </c>
      <c r="C578" s="3"/>
      <c r="D578" s="3"/>
      <c r="E578" s="3"/>
      <c r="F578" s="3"/>
      <c r="G578" s="3"/>
      <c r="H578" s="3"/>
      <c r="I578" s="3"/>
      <c r="J578" s="3"/>
      <c r="K578" s="3"/>
      <c r="L578" s="3"/>
    </row>
    <row r="579" customFormat="false" ht="15" hidden="false" customHeight="false" outlineLevel="0" collapsed="false">
      <c r="A579" s="5" t="s">
        <v>36</v>
      </c>
      <c r="B579" s="34" t="str">
        <f aca="false">INDEX(Scorecard!$A$6:$A$39,$B$578)</f>
        <v>Benin</v>
      </c>
      <c r="C579" s="34" t="str">
        <f aca="false">INDEX(Scorecard!$B$6:$B$39,$B$578)</f>
        <v>BEN</v>
      </c>
    </row>
    <row r="580" customFormat="false" ht="15" hidden="false" customHeight="false" outlineLevel="0" collapsed="false">
      <c r="A580" s="5" t="s">
        <v>191</v>
      </c>
      <c r="B580" s="40" t="n">
        <f aca="false">INDEX(Data!$D$6:$D$39,$B$578)</f>
        <v>8207504</v>
      </c>
    </row>
    <row r="581" customFormat="false" ht="15" hidden="false" customHeight="false" outlineLevel="0" collapsed="false">
      <c r="A581" s="5" t="s">
        <v>203</v>
      </c>
      <c r="B581" s="39" t="n">
        <f aca="false">INDEX(Data!$P$6:$P$39,$B$578)</f>
        <v>2.46175361912328</v>
      </c>
    </row>
    <row r="582" customFormat="false" ht="15" hidden="false" customHeight="false" outlineLevel="0" collapsed="false">
      <c r="A582" s="5" t="s">
        <v>379</v>
      </c>
      <c r="B582" s="36" t="n">
        <f aca="false">INDEX(Data!$E$6:$E$39,$B$578)</f>
        <v>0.448728519417161</v>
      </c>
    </row>
    <row r="583" customFormat="false" ht="15" hidden="false" customHeight="false" outlineLevel="0" collapsed="false">
      <c r="A583" s="5" t="s">
        <v>290</v>
      </c>
      <c r="B583" s="39" t="n">
        <f aca="false">INDEX(Forecast!$E$6:$E$39,$B$578)</f>
        <v>-0.20580932198283</v>
      </c>
    </row>
    <row r="584" customFormat="false" ht="15" hidden="false" customHeight="false" outlineLevel="0" collapsed="false">
      <c r="A584" s="5" t="s">
        <v>380</v>
      </c>
      <c r="B584" s="43" t="n">
        <f aca="false">INDEX(Forecast!$F$6:$F$39,$B$578)*Inputs!$E$16</f>
        <v>0.268090592156415</v>
      </c>
    </row>
    <row r="585" customFormat="false" ht="15" hidden="false" customHeight="false" outlineLevel="0" collapsed="false">
      <c r="A585" s="5" t="s">
        <v>381</v>
      </c>
      <c r="B585" s="44" t="n">
        <f aca="false">INDEX(Pools!$J$6:$J$39,$B$578)</f>
        <v>24.7682677246712</v>
      </c>
    </row>
    <row r="586" customFormat="false" ht="15" hidden="false" customHeight="false" outlineLevel="0" collapsed="false">
      <c r="A586" s="5" t="s">
        <v>307</v>
      </c>
      <c r="B586" s="39" t="n">
        <f aca="false">INDEX(Pools!$G$6:$G$39,$B$578)</f>
        <v>0.700281160782888</v>
      </c>
    </row>
    <row r="587" customFormat="false" ht="15" hidden="false" customHeight="false" outlineLevel="0" collapsed="false">
      <c r="A587" s="5" t="s">
        <v>46</v>
      </c>
      <c r="B587" s="36" t="n">
        <f aca="false">INDEX(Scorecard!$AT$6:$AT$39,$B$578)</f>
        <v>0.123757242958631</v>
      </c>
    </row>
    <row r="588" customFormat="false" ht="15" hidden="false" customHeight="false" outlineLevel="0" collapsed="false">
      <c r="A588" s="5" t="s">
        <v>382</v>
      </c>
      <c r="B588" s="36" t="n">
        <f aca="false">Inputs!$E$19</f>
        <v>0.05</v>
      </c>
    </row>
    <row r="589" customFormat="false" ht="15" hidden="false" customHeight="false" outlineLevel="0" collapsed="false">
      <c r="A589" s="5" t="s">
        <v>383</v>
      </c>
      <c r="B589" s="36" t="n">
        <f aca="false">Inputs!$E$18</f>
        <v>0.22</v>
      </c>
    </row>
    <row r="590" customFormat="false" ht="15" hidden="false" customHeight="false" outlineLevel="0" collapsed="false">
      <c r="A590" s="45" t="s">
        <v>384</v>
      </c>
      <c r="B590" s="45"/>
      <c r="C590" s="46" t="n">
        <v>2026</v>
      </c>
      <c r="D590" s="46" t="n">
        <v>2027</v>
      </c>
      <c r="E590" s="46" t="n">
        <v>2028</v>
      </c>
      <c r="F590" s="46" t="n">
        <v>2029</v>
      </c>
      <c r="G590" s="46" t="n">
        <v>2030</v>
      </c>
      <c r="H590" s="46" t="n">
        <v>2031</v>
      </c>
      <c r="I590" s="46" t="n">
        <v>2032</v>
      </c>
      <c r="J590" s="46" t="n">
        <v>2033</v>
      </c>
      <c r="K590" s="46" t="n">
        <v>2034</v>
      </c>
      <c r="L590" s="46" t="n">
        <v>2035</v>
      </c>
    </row>
    <row r="591" customFormat="false" ht="15" hidden="false" customHeight="false" outlineLevel="0" collapsed="false">
      <c r="A591" s="5" t="s">
        <v>385</v>
      </c>
      <c r="D591" s="14" t="n">
        <f aca="false">$B$580*(1+$B$581/100)^(D590-2024)</f>
        <v>8828693.83711088</v>
      </c>
      <c r="E591" s="14" t="n">
        <f aca="false">$B$580*(1+$B$581/100)^(E590-2024)</f>
        <v>9046034.52716727</v>
      </c>
      <c r="F591" s="14" t="n">
        <f aca="false">$B$580*(1+$B$581/100)^(F590-2024)</f>
        <v>9268725.60952695</v>
      </c>
      <c r="G591" s="14" t="n">
        <f aca="false">$B$580*(1+$B$581/100)^(G590-2024)</f>
        <v>9496898.79766609</v>
      </c>
      <c r="H591" s="14" t="n">
        <f aca="false">$B$580*(1+$B$581/100)^(H590-2024)</f>
        <v>9730689.04752211</v>
      </c>
      <c r="I591" s="14" t="n">
        <f aca="false">$B$580*(1+$B$581/100)^(I590-2024)</f>
        <v>9970234.63731512</v>
      </c>
      <c r="J591" s="14" t="n">
        <f aca="false">$B$580*(1+$B$581/100)^(J590-2024)</f>
        <v>10215677.2493343</v>
      </c>
      <c r="K591" s="14" t="n">
        <f aca="false">$B$580*(1+$B$581/100)^(K590-2024)</f>
        <v>10467162.0537377</v>
      </c>
      <c r="L591" s="14" t="n">
        <f aca="false">$B$580*(1+$B$581/100)^(L590-2024)</f>
        <v>10724837.7944151</v>
      </c>
    </row>
    <row r="592" customFormat="false" ht="15" hidden="false" customHeight="false" outlineLevel="0" collapsed="false">
      <c r="A592" s="5" t="s">
        <v>386</v>
      </c>
      <c r="D592" s="13" t="n">
        <f aca="false">MIN(1/(1+EXP(-($B$583+$B$584*(D590-2024)))),MAX(Inputs!$D$9,$B$582))</f>
        <v>0.645304461315823</v>
      </c>
      <c r="E592" s="13" t="n">
        <f aca="false">MIN(1/(1+EXP(-($B$583+$B$584*(E590-2024)))),MAX(Inputs!$D$9,$B$582))</f>
        <v>0.704027952866859</v>
      </c>
      <c r="F592" s="13" t="n">
        <f aca="false">MIN(1/(1+EXP(-($B$583+$B$584*(F590-2024)))),MAX(Inputs!$D$9,$B$582))</f>
        <v>0.75669484776091</v>
      </c>
      <c r="G592" s="13" t="n">
        <f aca="false">MIN(1/(1+EXP(-($B$583+$B$584*(G590-2024)))),MAX(Inputs!$D$9,$B$582))</f>
        <v>0.802617411253398</v>
      </c>
      <c r="H592" s="13" t="n">
        <f aca="false">MIN(1/(1+EXP(-($B$583+$B$584*(H590-2024)))),MAX(Inputs!$D$9,$B$582))</f>
        <v>0.841685760506468</v>
      </c>
      <c r="I592" s="13" t="n">
        <f aca="false">MIN(1/(1+EXP(-($B$583+$B$584*(I590-2024)))),MAX(Inputs!$D$9,$B$582))</f>
        <v>0.874232942107346</v>
      </c>
      <c r="J592" s="13" t="n">
        <f aca="false">MIN(1/(1+EXP(-($B$583+$B$584*(J590-2024)))),MAX(Inputs!$D$9,$B$582))</f>
        <v>0.900876890818022</v>
      </c>
      <c r="K592" s="13" t="n">
        <f aca="false">MIN(1/(1+EXP(-($B$583+$B$584*(K590-2024)))),MAX(Inputs!$D$9,$B$582))</f>
        <v>0.92</v>
      </c>
      <c r="L592" s="13" t="n">
        <f aca="false">MIN(1/(1+EXP(-($B$583+$B$584*(L590-2024)))),MAX(Inputs!$D$9,$B$582))</f>
        <v>0.92</v>
      </c>
    </row>
    <row r="593" customFormat="false" ht="15" hidden="false" customHeight="false" outlineLevel="0" collapsed="false">
      <c r="A593" s="5" t="s">
        <v>387</v>
      </c>
      <c r="D593" s="14" t="n">
        <f aca="false">D591*$B$582</f>
        <v>3961686.71391418</v>
      </c>
      <c r="E593" s="14" t="n">
        <f aca="false">E591*$B$582</f>
        <v>4059213.67997229</v>
      </c>
      <c r="F593" s="14" t="n">
        <f aca="false">F591*$B$582</f>
        <v>4159141.51964695</v>
      </c>
      <c r="G593" s="14" t="n">
        <f aca="false">G591*$B$582</f>
        <v>4261529.33653132</v>
      </c>
      <c r="H593" s="14" t="n">
        <f aca="false">H591*$B$582</f>
        <v>4366437.68920338</v>
      </c>
      <c r="I593" s="14" t="n">
        <f aca="false">I591*$B$582</f>
        <v>4473928.62704411</v>
      </c>
      <c r="J593" s="14" t="n">
        <f aca="false">J591*$B$582</f>
        <v>4584065.72693736</v>
      </c>
      <c r="K593" s="14" t="n">
        <f aca="false">K591*$B$582</f>
        <v>4696914.13087323</v>
      </c>
      <c r="L593" s="14" t="n">
        <f aca="false">L591*$B$582</f>
        <v>4812540.58447712</v>
      </c>
    </row>
    <row r="594" customFormat="false" ht="15" hidden="false" customHeight="false" outlineLevel="0" collapsed="false">
      <c r="A594" s="5" t="s">
        <v>388</v>
      </c>
      <c r="D594" s="14" t="n">
        <f aca="false">MAX(0,D591*D592-D593)</f>
        <v>1735508.80676499</v>
      </c>
      <c r="E594" s="14" t="n">
        <f aca="false">MAX(0,E591*E592-E593)</f>
        <v>2309447.48975221</v>
      </c>
      <c r="F594" s="14" t="n">
        <f aca="false">MAX(0,F591*F592-F593)</f>
        <v>2854455.39439169</v>
      </c>
      <c r="G594" s="14" t="n">
        <f aca="false">MAX(0,G591*G592-G593)</f>
        <v>3360846.99138694</v>
      </c>
      <c r="H594" s="14" t="n">
        <f aca="false">MAX(0,H591*H592-H593)</f>
        <v>3823744.72201223</v>
      </c>
      <c r="I594" s="14" t="n">
        <f aca="false">MAX(0,I591*I592-I593)</f>
        <v>4242378.93343646</v>
      </c>
      <c r="J594" s="14" t="n">
        <f aca="false">MAX(0,J591*J592-J593)</f>
        <v>4619001.83104333</v>
      </c>
      <c r="K594" s="14" t="n">
        <f aca="false">MAX(0,K591*K592-K593)</f>
        <v>4932874.9585655</v>
      </c>
      <c r="L594" s="14" t="n">
        <f aca="false">MAX(0,L591*L592-L593)</f>
        <v>5054310.18638481</v>
      </c>
    </row>
    <row r="595" customFormat="false" ht="15" hidden="false" customHeight="false" outlineLevel="0" collapsed="false">
      <c r="A595" s="5" t="s">
        <v>389</v>
      </c>
      <c r="D595" s="47" t="n">
        <f aca="false">Inputs!$D$41</f>
        <v>0.1</v>
      </c>
      <c r="E595" s="47" t="n">
        <f aca="false">Inputs!$D$42</f>
        <v>0.35</v>
      </c>
      <c r="F595" s="47" t="n">
        <f aca="false">Inputs!$D$43</f>
        <v>0.65</v>
      </c>
      <c r="G595" s="47" t="n">
        <f aca="false">Inputs!$D$44</f>
        <v>1</v>
      </c>
      <c r="H595" s="47" t="n">
        <f aca="false">Inputs!$D$44</f>
        <v>1</v>
      </c>
      <c r="I595" s="47" t="n">
        <f aca="false">Inputs!$D$44</f>
        <v>1</v>
      </c>
      <c r="J595" s="47" t="n">
        <f aca="false">Inputs!$D$44</f>
        <v>1</v>
      </c>
      <c r="K595" s="47" t="n">
        <f aca="false">Inputs!$D$44</f>
        <v>1</v>
      </c>
      <c r="L595" s="47" t="n">
        <f aca="false">Inputs!$D$44</f>
        <v>1</v>
      </c>
    </row>
    <row r="596" customFormat="false" ht="15" hidden="false" customHeight="false" outlineLevel="0" collapsed="false">
      <c r="A596" s="5" t="s">
        <v>390</v>
      </c>
      <c r="C596" s="14" t="n">
        <v>0</v>
      </c>
      <c r="D596" s="14" t="n">
        <f aca="false">D595*($B$588*D593+$B$589*D594)</f>
        <v>57989.6273184006</v>
      </c>
      <c r="E596" s="14" t="n">
        <f aca="false">E595*($B$588*E593+$B$589*E594)</f>
        <v>248863.696110435</v>
      </c>
      <c r="F596" s="14" t="n">
        <f aca="false">F595*($B$588*F593+$B$589*F594)</f>
        <v>543359.220786537</v>
      </c>
      <c r="G596" s="14" t="n">
        <f aca="false">G595*($B$588*G593+$B$589*G594)</f>
        <v>952462.804931693</v>
      </c>
      <c r="H596" s="14" t="n">
        <f aca="false">H595*($B$588*H593+$B$589*H594)</f>
        <v>1059545.72330286</v>
      </c>
      <c r="I596" s="14" t="n">
        <f aca="false">I595*($B$588*I593+$B$589*I594)</f>
        <v>1157019.79670823</v>
      </c>
      <c r="J596" s="14" t="n">
        <f aca="false">J595*($B$588*J593+$B$589*J594)</f>
        <v>1245383.6891764</v>
      </c>
      <c r="K596" s="14" t="n">
        <f aca="false">K595*($B$588*K593+$B$589*K594)</f>
        <v>1320078.19742807</v>
      </c>
      <c r="L596" s="14" t="n">
        <f aca="false">L595*($B$588*L593+$B$589*L594)</f>
        <v>1352575.27022851</v>
      </c>
    </row>
    <row r="597" customFormat="false" ht="15" hidden="false" customHeight="false" outlineLevel="0" collapsed="false">
      <c r="A597" s="5" t="s">
        <v>391</v>
      </c>
      <c r="D597" s="11" t="n">
        <f aca="false">D596*$B$585/1000000</f>
        <v>1.43630261467605</v>
      </c>
      <c r="E597" s="11" t="n">
        <f aca="false">E596*$B$585/1000000</f>
        <v>6.16392265221447</v>
      </c>
      <c r="F597" s="11" t="n">
        <f aca="false">F596*$B$585/1000000</f>
        <v>13.4580666511097</v>
      </c>
      <c r="G597" s="11" t="n">
        <f aca="false">G596*$B$585/1000000</f>
        <v>23.5908537503394</v>
      </c>
      <c r="H597" s="11" t="n">
        <f aca="false">H596*$B$585/1000000</f>
        <v>26.2431121412956</v>
      </c>
      <c r="I597" s="11" t="n">
        <f aca="false">I596*$B$585/1000000</f>
        <v>28.6573760876139</v>
      </c>
      <c r="J597" s="11" t="n">
        <f aca="false">J596*$B$585/1000000</f>
        <v>30.8459966334598</v>
      </c>
      <c r="K597" s="11" t="n">
        <f aca="false">K596*$B$585/1000000</f>
        <v>32.6960502113998</v>
      </c>
      <c r="L597" s="11" t="n">
        <f aca="false">L596*$B$585/1000000</f>
        <v>33.5009464107893</v>
      </c>
    </row>
    <row r="598" customFormat="false" ht="15" hidden="false" customHeight="false" outlineLevel="0" collapsed="false">
      <c r="A598" s="5" t="s">
        <v>392</v>
      </c>
      <c r="D598" s="11" t="n">
        <f aca="false">Inputs!$D$31*MAX(0,D596-C596)/1000000</f>
        <v>0.173968881955202</v>
      </c>
      <c r="E598" s="11" t="n">
        <f aca="false">Inputs!$D$31*MAX(0,E596-D596)/1000000</f>
        <v>0.572622206376104</v>
      </c>
      <c r="F598" s="11" t="n">
        <f aca="false">Inputs!$D$31*MAX(0,F596-E596)/1000000</f>
        <v>0.883486574028306</v>
      </c>
      <c r="G598" s="11" t="n">
        <f aca="false">Inputs!$D$31*MAX(0,G596-F596)/1000000</f>
        <v>1.22731075243547</v>
      </c>
      <c r="H598" s="11" t="n">
        <f aca="false">Inputs!$D$31*MAX(0,H596-G596)/1000000</f>
        <v>0.321248755113497</v>
      </c>
      <c r="I598" s="11" t="n">
        <f aca="false">Inputs!$D$31*MAX(0,I596-H596)/1000000</f>
        <v>0.292422220216101</v>
      </c>
      <c r="J598" s="11" t="n">
        <f aca="false">Inputs!$D$31*MAX(0,J596-I596)/1000000</f>
        <v>0.265091677404526</v>
      </c>
      <c r="K598" s="11" t="n">
        <f aca="false">Inputs!$D$31*MAX(0,K596-J596)/1000000</f>
        <v>0.224083524755011</v>
      </c>
      <c r="L598" s="11" t="n">
        <f aca="false">Inputs!$D$31*MAX(0,L596-K596)/1000000</f>
        <v>0.0974912184013284</v>
      </c>
    </row>
    <row r="599" customFormat="false" ht="15" hidden="false" customHeight="false" outlineLevel="0" collapsed="false">
      <c r="A599" s="5" t="s">
        <v>393</v>
      </c>
      <c r="D599" s="11" t="n">
        <f aca="false">Inputs!$D$30*$B$586</f>
        <v>8.40337392939465</v>
      </c>
      <c r="E599" s="11" t="n">
        <f aca="false">Inputs!$D$30*$B$586</f>
        <v>8.40337392939465</v>
      </c>
      <c r="F599" s="11" t="n">
        <f aca="false">Inputs!$D$30*$B$586</f>
        <v>8.40337392939465</v>
      </c>
      <c r="G599" s="11" t="n">
        <f aca="false">Inputs!$D$30*$B$586</f>
        <v>8.40337392939465</v>
      </c>
      <c r="H599" s="11" t="n">
        <f aca="false">Inputs!$D$30*$B$586</f>
        <v>8.40337392939465</v>
      </c>
      <c r="I599" s="11" t="n">
        <f aca="false">Inputs!$D$30*$B$586</f>
        <v>8.40337392939465</v>
      </c>
      <c r="J599" s="11" t="n">
        <f aca="false">Inputs!$D$30*$B$586</f>
        <v>8.40337392939465</v>
      </c>
      <c r="K599" s="11" t="n">
        <f aca="false">Inputs!$D$30*$B$586</f>
        <v>8.40337392939465</v>
      </c>
      <c r="L599" s="11" t="n">
        <f aca="false">Inputs!$D$30*$B$586</f>
        <v>8.40337392939465</v>
      </c>
    </row>
    <row r="600" customFormat="false" ht="15" hidden="false" customHeight="false" outlineLevel="0" collapsed="false">
      <c r="A600" s="5" t="s">
        <v>394</v>
      </c>
      <c r="D600" s="11" t="n">
        <f aca="false">D597*Inputs!$D$29-D598</f>
        <v>0.544182425382823</v>
      </c>
      <c r="E600" s="11" t="n">
        <f aca="false">E597*Inputs!$D$29-E598</f>
        <v>2.50933911973113</v>
      </c>
      <c r="F600" s="11" t="n">
        <f aca="false">F597*Inputs!$D$29-F598</f>
        <v>5.84554675152653</v>
      </c>
      <c r="G600" s="11" t="n">
        <f aca="false">G597*Inputs!$D$29-G598</f>
        <v>10.5681161227342</v>
      </c>
      <c r="H600" s="11" t="n">
        <f aca="false">H597*Inputs!$D$29-H598</f>
        <v>12.8003073155343</v>
      </c>
      <c r="I600" s="11" t="n">
        <f aca="false">I597*Inputs!$D$29-I598</f>
        <v>14.0362658235909</v>
      </c>
      <c r="J600" s="11" t="n">
        <f aca="false">J597*Inputs!$D$29-J598</f>
        <v>15.1579066393254</v>
      </c>
      <c r="K600" s="11" t="n">
        <f aca="false">K597*Inputs!$D$29-K598</f>
        <v>16.1239415809449</v>
      </c>
      <c r="L600" s="11" t="n">
        <f aca="false">L597*Inputs!$D$29-L598</f>
        <v>16.6529819869933</v>
      </c>
    </row>
    <row r="601" customFormat="false" ht="15" hidden="false" customHeight="false" outlineLevel="0" collapsed="false">
      <c r="A601" s="5" t="s">
        <v>395</v>
      </c>
      <c r="D601" s="11" t="n">
        <f aca="false">D600-D599</f>
        <v>-7.85919150401183</v>
      </c>
      <c r="E601" s="11" t="n">
        <f aca="false">E600-E599</f>
        <v>-5.89403480966352</v>
      </c>
      <c r="F601" s="11" t="n">
        <f aca="false">F600-F599</f>
        <v>-2.55782717786813</v>
      </c>
      <c r="G601" s="11" t="n">
        <f aca="false">G600-G599</f>
        <v>2.16474219333959</v>
      </c>
      <c r="H601" s="11" t="n">
        <f aca="false">H600-H599</f>
        <v>4.39693338613963</v>
      </c>
      <c r="I601" s="11" t="n">
        <f aca="false">I600-I599</f>
        <v>5.63289189419622</v>
      </c>
      <c r="J601" s="11" t="n">
        <f aca="false">J600-J599</f>
        <v>6.7545327099307</v>
      </c>
      <c r="K601" s="11" t="n">
        <f aca="false">K600-K599</f>
        <v>7.72056765155023</v>
      </c>
      <c r="L601" s="11" t="n">
        <f aca="false">L600-L599</f>
        <v>8.24960805759866</v>
      </c>
    </row>
    <row r="602" customFormat="false" ht="15" hidden="false" customHeight="false" outlineLevel="0" collapsed="false">
      <c r="A602" s="5" t="s">
        <v>396</v>
      </c>
      <c r="D602" s="48" t="n">
        <f aca="false">1/(1+$B$587)^(D590-2026)</f>
        <v>0.889871906291075</v>
      </c>
      <c r="E602" s="48" t="n">
        <f aca="false">1/(1+$B$587)^(E590-2026)</f>
        <v>0.791872009606112</v>
      </c>
      <c r="F602" s="48" t="n">
        <f aca="false">1/(1+$B$587)^(F590-2026)</f>
        <v>0.704664654726736</v>
      </c>
      <c r="G602" s="48" t="n">
        <f aca="false">1/(1+$B$587)^(G590-2026)</f>
        <v>0.627061279597623</v>
      </c>
      <c r="H602" s="48" t="n">
        <f aca="false">1/(1+$B$587)^(H590-2026)</f>
        <v>0.558004216236858</v>
      </c>
      <c r="I602" s="48" t="n">
        <f aca="false">1/(1+$B$587)^(I590-2026)</f>
        <v>0.49655227562115</v>
      </c>
      <c r="J602" s="48" t="n">
        <f aca="false">1/(1+$B$587)^(J590-2026)</f>
        <v>0.441867920080164</v>
      </c>
      <c r="K602" s="48" t="n">
        <f aca="false">1/(1+$B$587)^(K590-2026)</f>
        <v>0.393205848370608</v>
      </c>
      <c r="L602" s="48" t="n">
        <f aca="false">1/(1+$B$587)^(L590-2026)</f>
        <v>0.349902837854353</v>
      </c>
    </row>
    <row r="603" customFormat="false" ht="15" hidden="false" customHeight="false" outlineLevel="0" collapsed="false">
      <c r="A603" s="5" t="s">
        <v>397</v>
      </c>
      <c r="D603" s="11" t="n">
        <f aca="false">D601*D602</f>
        <v>-6.99367372558163</v>
      </c>
      <c r="E603" s="11" t="n">
        <f aca="false">E601*E602</f>
        <v>-4.66732118941663</v>
      </c>
      <c r="F603" s="11" t="n">
        <f aca="false">F601*F602</f>
        <v>-1.8024104051431</v>
      </c>
      <c r="G603" s="11" t="n">
        <f aca="false">G601*G602</f>
        <v>1.35742600975449</v>
      </c>
      <c r="H603" s="11" t="n">
        <f aca="false">H601*H602</f>
        <v>2.45350736797852</v>
      </c>
      <c r="I603" s="11" t="n">
        <f aca="false">I601*I602</f>
        <v>2.79702528839106</v>
      </c>
      <c r="J603" s="11" t="n">
        <f aca="false">J601*J602</f>
        <v>2.98461131965051</v>
      </c>
      <c r="K603" s="11" t="n">
        <f aca="false">K601*K602</f>
        <v>3.03577235333048</v>
      </c>
      <c r="L603" s="11" t="n">
        <f aca="false">L601*L602</f>
        <v>2.88656127053991</v>
      </c>
    </row>
    <row r="604" customFormat="false" ht="15" hidden="false" customHeight="false" outlineLevel="0" collapsed="false">
      <c r="A604" s="5" t="s">
        <v>398</v>
      </c>
      <c r="C604" s="11" t="n">
        <f aca="false">-B607</f>
        <v>-14.0056232156578</v>
      </c>
      <c r="D604" s="11" t="n">
        <f aca="false">C604+D601</f>
        <v>-21.8648147196696</v>
      </c>
      <c r="E604" s="11" t="n">
        <f aca="false">D604+E601</f>
        <v>-27.7588495293331</v>
      </c>
      <c r="F604" s="11" t="n">
        <f aca="false">E604+F601</f>
        <v>-30.3166767072012</v>
      </c>
      <c r="G604" s="11" t="n">
        <f aca="false">F604+G601</f>
        <v>-28.1519345138616</v>
      </c>
      <c r="H604" s="11" t="n">
        <f aca="false">G604+H601</f>
        <v>-23.755001127722</v>
      </c>
      <c r="I604" s="11" t="n">
        <f aca="false">H604+I601</f>
        <v>-18.1221092335258</v>
      </c>
      <c r="J604" s="11" t="n">
        <f aca="false">I604+J601</f>
        <v>-11.3675765235951</v>
      </c>
      <c r="K604" s="11" t="n">
        <f aca="false">J604+K601</f>
        <v>-3.64700887204486</v>
      </c>
      <c r="L604" s="11" t="n">
        <f aca="false">K604+L601</f>
        <v>4.6025991855538</v>
      </c>
    </row>
    <row r="605" customFormat="false" ht="15" hidden="false" customHeight="false" outlineLevel="0" collapsed="false">
      <c r="A605" s="5" t="s">
        <v>399</v>
      </c>
      <c r="D605" s="16" t="str">
        <f aca="false">IF(D604&gt;=0,D590,"")</f>
        <v/>
      </c>
      <c r="E605" s="16" t="str">
        <f aca="false">IF(E604&gt;=0,E590,"")</f>
        <v/>
      </c>
      <c r="F605" s="16" t="str">
        <f aca="false">IF(F604&gt;=0,F590,"")</f>
        <v/>
      </c>
      <c r="G605" s="16" t="str">
        <f aca="false">IF(G604&gt;=0,G590,"")</f>
        <v/>
      </c>
      <c r="H605" s="16" t="str">
        <f aca="false">IF(H604&gt;=0,H590,"")</f>
        <v/>
      </c>
      <c r="I605" s="16" t="str">
        <f aca="false">IF(I604&gt;=0,I590,"")</f>
        <v/>
      </c>
      <c r="J605" s="16" t="str">
        <f aca="false">IF(J604&gt;=0,J590,"")</f>
        <v/>
      </c>
      <c r="K605" s="16" t="str">
        <f aca="false">IF(K604&gt;=0,K590,"")</f>
        <v/>
      </c>
      <c r="L605" s="16" t="n">
        <f aca="false">IF(L604&gt;=0,L590,"")</f>
        <v>2035</v>
      </c>
    </row>
    <row r="607" customFormat="false" ht="15" hidden="false" customHeight="false" outlineLevel="0" collapsed="false">
      <c r="A607" s="5" t="s">
        <v>400</v>
      </c>
      <c r="B607" s="11" t="n">
        <f aca="false">Inputs!$D$32*$B$586</f>
        <v>14.0056232156578</v>
      </c>
    </row>
    <row r="608" customFormat="false" ht="15" hidden="false" customHeight="false" outlineLevel="0" collapsed="false">
      <c r="A608" s="7" t="s">
        <v>401</v>
      </c>
      <c r="B608" s="12" t="n">
        <f aca="false">-B607+SUM(D603:L603)+Inputs!$D$33*L601*L602</f>
        <v>2.47868142654539</v>
      </c>
    </row>
    <row r="609" customFormat="false" ht="15" hidden="false" customHeight="false" outlineLevel="0" collapsed="false">
      <c r="A609" s="5" t="s">
        <v>402</v>
      </c>
      <c r="B609" s="11" t="n">
        <f aca="false">-MIN(C604:L604)</f>
        <v>30.3166767072012</v>
      </c>
    </row>
    <row r="610" customFormat="false" ht="15" hidden="false" customHeight="false" outlineLevel="0" collapsed="false">
      <c r="A610" s="5" t="s">
        <v>403</v>
      </c>
      <c r="B610" s="16" t="n">
        <f aca="false">IF(COUNT(C605:L605)=0,"none",MIN(C605:L605))</f>
        <v>2035</v>
      </c>
    </row>
    <row r="611" customFormat="false" ht="15" hidden="false" customHeight="false" outlineLevel="0" collapsed="false">
      <c r="A611" s="5" t="s">
        <v>404</v>
      </c>
      <c r="B611" s="11" t="n">
        <f aca="false">SUMPRODUCT(D597:L597,D602:L602)+Inputs!$D$33*L597*L602</f>
        <v>156.127742381154</v>
      </c>
    </row>
    <row r="612" customFormat="false" ht="15" hidden="false" customHeight="false" outlineLevel="0" collapsed="false">
      <c r="A612" s="5" t="s">
        <v>405</v>
      </c>
      <c r="B612" s="11" t="n">
        <f aca="false">SUMPRODUCT(D598:L598,D602:L602)+Inputs!$D$33*L598*L602</f>
        <v>2.73479659365256</v>
      </c>
    </row>
    <row r="613" customFormat="false" ht="15" hidden="false" customHeight="false" outlineLevel="0" collapsed="false">
      <c r="A613" s="5" t="s">
        <v>406</v>
      </c>
      <c r="B613" s="11" t="n">
        <f aca="false">B607+Inputs!$D$30*$B$586*(SUM(D602:L602)+Inputs!$D$33*L602)</f>
        <v>72.8503931703792</v>
      </c>
    </row>
    <row r="614" customFormat="false" ht="15" hidden="false" customHeight="false" outlineLevel="0" collapsed="false">
      <c r="A614" s="5" t="s">
        <v>407</v>
      </c>
      <c r="B614" s="11" t="n">
        <f aca="false">Inputs!$D$29*B611-B612-B613</f>
        <v>2.47868142654538</v>
      </c>
    </row>
    <row r="615" customFormat="false" ht="15" hidden="false" customHeight="false" outlineLevel="0" collapsed="false">
      <c r="A615" s="5" t="s">
        <v>408</v>
      </c>
      <c r="B615" s="49" t="n">
        <f aca="false">IF(Inputs!$D$29*B611-B612&gt;0,B613/(Inputs!$D$29*B611-B612),"n/a")</f>
        <v>0.967095289039346</v>
      </c>
    </row>
    <row r="616" customFormat="false" ht="15" hidden="false" customHeight="false" outlineLevel="0" collapsed="false">
      <c r="A616" s="5" t="s">
        <v>409</v>
      </c>
      <c r="B616" s="50" t="n">
        <f aca="false">ABS(B614-B608)</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1F5E"/>
    <pageSetUpPr fitToPage="false"/>
  </sheetPr>
  <dimension ref="A1:M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7" min="2" style="0" width="12"/>
    <col collapsed="false" customWidth="true" hidden="false" outlineLevel="0" max="8" min="8" style="0" width="22"/>
    <col collapsed="false" customWidth="true" hidden="false" outlineLevel="0" max="13" min="9" style="0" width="12"/>
  </cols>
  <sheetData>
    <row r="1" customFormat="false" ht="17.35" hidden="false" customHeight="false" outlineLevel="0" collapsed="false">
      <c r="A1" s="1" t="s">
        <v>424</v>
      </c>
    </row>
    <row r="2" customFormat="false" ht="15" hidden="false" customHeight="false" outlineLevel="0" collapsed="false">
      <c r="A2" s="2" t="s">
        <v>425</v>
      </c>
    </row>
    <row r="4" customFormat="false" ht="15" hidden="false" customHeight="false" outlineLevel="0" collapsed="false">
      <c r="A4" s="3" t="str">
        <f aca="false">"Rank 1: "&amp;Cases!$B$59</f>
        <v>Rank 1: Tanzania</v>
      </c>
      <c r="B4" s="51"/>
      <c r="C4" s="51"/>
      <c r="D4" s="51"/>
      <c r="E4" s="51"/>
      <c r="F4" s="51"/>
      <c r="G4" s="51"/>
      <c r="H4" s="51"/>
      <c r="I4" s="51"/>
      <c r="J4" s="51"/>
      <c r="K4" s="51"/>
      <c r="L4" s="51"/>
      <c r="M4" s="51"/>
    </row>
    <row r="5" customFormat="false" ht="15" hidden="false" customHeight="false" outlineLevel="0" collapsed="false">
      <c r="A5" s="2" t="s">
        <v>426</v>
      </c>
      <c r="H5" s="2" t="s">
        <v>427</v>
      </c>
    </row>
    <row r="6" customFormat="false" ht="15" hidden="false" customHeight="false" outlineLevel="0" collapsed="false">
      <c r="B6" s="52" t="n">
        <v>0.5</v>
      </c>
      <c r="C6" s="52" t="n">
        <v>0.75</v>
      </c>
      <c r="D6" s="52" t="n">
        <v>1</v>
      </c>
      <c r="E6" s="52" t="n">
        <v>1.25</v>
      </c>
      <c r="F6" s="52" t="n">
        <v>1.5</v>
      </c>
      <c r="I6" s="52" t="n">
        <v>0.5</v>
      </c>
      <c r="J6" s="52" t="n">
        <v>0.75</v>
      </c>
      <c r="K6" s="52" t="n">
        <v>1</v>
      </c>
      <c r="L6" s="52" t="n">
        <v>1.5</v>
      </c>
      <c r="M6" s="52" t="n">
        <v>2</v>
      </c>
    </row>
    <row r="7" customFormat="false" ht="15" hidden="false" customHeight="false" outlineLevel="0" collapsed="false">
      <c r="A7" s="52" t="n">
        <v>0.6</v>
      </c>
      <c r="B7" s="11" t="n">
        <f aca="false">B$6*(Inputs!$D$29*$A7*Cases!B91-Cases!B92)-Cases!B93</f>
        <v>-90.27712616657</v>
      </c>
      <c r="C7" s="11" t="n">
        <f aca="false">C$6*(Inputs!$D$29*$A7*Cases!B91-Cases!B92)-Cases!B93</f>
        <v>-69.1608314850846</v>
      </c>
      <c r="D7" s="11" t="n">
        <f aca="false">D$6*(Inputs!$D$29*$A7*Cases!B91-Cases!B92)-Cases!B93</f>
        <v>-48.0445368035991</v>
      </c>
      <c r="E7" s="11" t="n">
        <f aca="false">E$6*(Inputs!$D$29*$A7*Cases!B91-Cases!B92)-Cases!B93</f>
        <v>-26.9282421221137</v>
      </c>
      <c r="F7" s="11" t="n">
        <f aca="false">F$6*(Inputs!$D$29*$A7*Cases!B91-Cases!B92)-Cases!B93</f>
        <v>-5.81194744062825</v>
      </c>
      <c r="H7" s="53" t="n">
        <v>0.35</v>
      </c>
      <c r="I7" s="11" t="n">
        <f aca="false">($H7*Cases!B91-Cases!B92)-(Cases!B87+I$6*(Cases!B93-Cases!B87))</f>
        <v>20.6428809273773</v>
      </c>
      <c r="J7" s="11" t="n">
        <f aca="false">($H7*Cases!B91-Cases!B92)-(Cases!B87+J$6*(Cases!B93-Cases!B87))</f>
        <v>-6.01039425574191</v>
      </c>
      <c r="K7" s="11" t="n">
        <f aca="false">($H7*Cases!B91-Cases!B92)-(Cases!B87+K$6*(Cases!B93-Cases!B87))</f>
        <v>-32.6636694388611</v>
      </c>
      <c r="L7" s="11" t="n">
        <f aca="false">($H7*Cases!B91-Cases!B92)-(Cases!B87+L$6*(Cases!B93-Cases!B87))</f>
        <v>-85.9702198050994</v>
      </c>
      <c r="M7" s="11" t="n">
        <f aca="false">($H7*Cases!B91-Cases!B92)-(Cases!B87+M$6*(Cases!B93-Cases!B87))</f>
        <v>-139.276770171338</v>
      </c>
    </row>
    <row r="8" customFormat="false" ht="15" hidden="false" customHeight="false" outlineLevel="0" collapsed="false">
      <c r="A8" s="52" t="n">
        <v>0.8</v>
      </c>
      <c r="B8" s="11" t="n">
        <f aca="false">B$6*(Inputs!$D$29*$A8*Cases!B91-Cases!B92)-Cases!B93</f>
        <v>-74.896258801832</v>
      </c>
      <c r="C8" s="11" t="n">
        <f aca="false">C$6*(Inputs!$D$29*$A8*Cases!B91-Cases!B92)-Cases!B93</f>
        <v>-46.0895304379775</v>
      </c>
      <c r="D8" s="11" t="n">
        <f aca="false">D$6*(Inputs!$D$29*$A8*Cases!B91-Cases!B92)-Cases!B93</f>
        <v>-17.282802074123</v>
      </c>
      <c r="E8" s="11" t="n">
        <f aca="false">E$6*(Inputs!$D$29*$A8*Cases!B91-Cases!B92)-Cases!B93</f>
        <v>11.5239262897314</v>
      </c>
      <c r="F8" s="11" t="n">
        <f aca="false">F$6*(Inputs!$D$29*$A8*Cases!B91-Cases!B92)-Cases!B93</f>
        <v>40.3306546535859</v>
      </c>
      <c r="H8" s="53" t="n">
        <v>0.425</v>
      </c>
      <c r="I8" s="11" t="n">
        <f aca="false">($H8*Cases!B91-Cases!B92)-(Cases!B87+I$6*(Cases!B93-Cases!B87))</f>
        <v>43.7141819744843</v>
      </c>
      <c r="J8" s="11" t="n">
        <f aca="false">($H8*Cases!B91-Cases!B92)-(Cases!B87+J$6*(Cases!B93-Cases!B87))</f>
        <v>17.0609067913651</v>
      </c>
      <c r="K8" s="11" t="n">
        <f aca="false">($H8*Cases!B91-Cases!B92)-(Cases!B87+K$6*(Cases!B93-Cases!B87))</f>
        <v>-9.59236839175404</v>
      </c>
      <c r="L8" s="11" t="n">
        <f aca="false">($H8*Cases!B91-Cases!B92)-(Cases!B87+L$6*(Cases!B93-Cases!B87))</f>
        <v>-62.8989187579924</v>
      </c>
      <c r="M8" s="11" t="n">
        <f aca="false">($H8*Cases!B91-Cases!B92)-(Cases!B87+M$6*(Cases!B93-Cases!B87))</f>
        <v>-116.205469124231</v>
      </c>
    </row>
    <row r="9" customFormat="false" ht="15" hidden="false" customHeight="false" outlineLevel="0" collapsed="false">
      <c r="A9" s="52" t="n">
        <v>1</v>
      </c>
      <c r="B9" s="11" t="n">
        <f aca="false">B$6*(Inputs!$D$29*$A9*Cases!B91-Cases!B92)-Cases!B93</f>
        <v>-59.5153914370939</v>
      </c>
      <c r="C9" s="11" t="n">
        <f aca="false">C$6*(Inputs!$D$29*$A9*Cases!B91-Cases!B92)-Cases!B93</f>
        <v>-23.0182293908705</v>
      </c>
      <c r="D9" s="11" t="n">
        <f aca="false">D$6*(Inputs!$D$29*$A9*Cases!B91-Cases!B92)-Cases!B93</f>
        <v>13.478932655353</v>
      </c>
      <c r="E9" s="11" t="n">
        <f aca="false">E$6*(Inputs!$D$29*$A9*Cases!B91-Cases!B92)-Cases!B93</f>
        <v>49.9760947015765</v>
      </c>
      <c r="F9" s="11" t="n">
        <f aca="false">F$6*(Inputs!$D$29*$A9*Cases!B91-Cases!B92)-Cases!B93</f>
        <v>86.4732567478</v>
      </c>
      <c r="H9" s="53" t="n">
        <v>0.5</v>
      </c>
      <c r="I9" s="11" t="n">
        <f aca="false">($H9*Cases!B91-Cases!B92)-(Cases!B87+I$6*(Cases!B93-Cases!B87))</f>
        <v>66.7854830215914</v>
      </c>
      <c r="J9" s="11" t="n">
        <f aca="false">($H9*Cases!B91-Cases!B92)-(Cases!B87+J$6*(Cases!B93-Cases!B87))</f>
        <v>40.1322078384722</v>
      </c>
      <c r="K9" s="11" t="n">
        <f aca="false">($H9*Cases!B91-Cases!B92)-(Cases!B87+K$6*(Cases!B93-Cases!B87))</f>
        <v>13.478932655353</v>
      </c>
      <c r="L9" s="11" t="n">
        <f aca="false">($H9*Cases!B91-Cases!B92)-(Cases!B87+L$6*(Cases!B93-Cases!B87))</f>
        <v>-39.8276177108853</v>
      </c>
      <c r="M9" s="11" t="n">
        <f aca="false">($H9*Cases!B91-Cases!B92)-(Cases!B87+M$6*(Cases!B93-Cases!B87))</f>
        <v>-93.1341680771236</v>
      </c>
    </row>
    <row r="10" customFormat="false" ht="15" hidden="false" customHeight="false" outlineLevel="0" collapsed="false">
      <c r="A10" s="52" t="n">
        <v>1.2</v>
      </c>
      <c r="B10" s="11" t="n">
        <f aca="false">B$6*(Inputs!$D$29*$A10*Cases!B91-Cases!B92)-Cases!B93</f>
        <v>-44.1345240723559</v>
      </c>
      <c r="C10" s="11" t="n">
        <f aca="false">C$6*(Inputs!$D$29*$A10*Cases!B91-Cases!B92)-Cases!B93</f>
        <v>0.0530716562365683</v>
      </c>
      <c r="D10" s="11" t="n">
        <f aca="false">D$6*(Inputs!$D$29*$A10*Cases!B91-Cases!B92)-Cases!B93</f>
        <v>44.2406673848291</v>
      </c>
      <c r="E10" s="11" t="n">
        <f aca="false">E$6*(Inputs!$D$29*$A10*Cases!B91-Cases!B92)-Cases!B93</f>
        <v>88.4282631134216</v>
      </c>
      <c r="F10" s="11" t="n">
        <f aca="false">F$6*(Inputs!$D$29*$A10*Cases!B91-Cases!B92)-Cases!B93</f>
        <v>132.615858842014</v>
      </c>
      <c r="H10" s="53" t="n">
        <v>0.575</v>
      </c>
      <c r="I10" s="11" t="n">
        <f aca="false">($H10*Cases!B91-Cases!B92)-(Cases!B87+I$6*(Cases!B93-Cases!B87))</f>
        <v>89.8567840686984</v>
      </c>
      <c r="J10" s="11" t="n">
        <f aca="false">($H10*Cases!B91-Cases!B92)-(Cases!B87+J$6*(Cases!B93-Cases!B87))</f>
        <v>63.2035088855792</v>
      </c>
      <c r="K10" s="11" t="n">
        <f aca="false">($H10*Cases!B91-Cases!B92)-(Cases!B87+K$6*(Cases!B93-Cases!B87))</f>
        <v>36.5502337024601</v>
      </c>
      <c r="L10" s="11" t="n">
        <f aca="false">($H10*Cases!B91-Cases!B92)-(Cases!B87+L$6*(Cases!B93-Cases!B87))</f>
        <v>-16.7563166637783</v>
      </c>
      <c r="M10" s="11" t="n">
        <f aca="false">($H10*Cases!B91-Cases!B92)-(Cases!B87+M$6*(Cases!B93-Cases!B87))</f>
        <v>-70.0628670300166</v>
      </c>
    </row>
    <row r="11" customFormat="false" ht="15" hidden="false" customHeight="false" outlineLevel="0" collapsed="false">
      <c r="A11" s="52" t="n">
        <v>1.4</v>
      </c>
      <c r="B11" s="11" t="n">
        <f aca="false">B$6*(Inputs!$D$29*$A11*Cases!B91-Cases!B92)-Cases!B93</f>
        <v>-28.7536567076179</v>
      </c>
      <c r="C11" s="11" t="n">
        <f aca="false">C$6*(Inputs!$D$29*$A11*Cases!B91-Cases!B92)-Cases!B93</f>
        <v>23.1243727033436</v>
      </c>
      <c r="D11" s="11" t="n">
        <f aca="false">D$6*(Inputs!$D$29*$A11*Cases!B91-Cases!B92)-Cases!B93</f>
        <v>75.0024021143051</v>
      </c>
      <c r="E11" s="11" t="n">
        <f aca="false">E$6*(Inputs!$D$29*$A11*Cases!B91-Cases!B92)-Cases!B93</f>
        <v>126.880431525267</v>
      </c>
      <c r="F11" s="11" t="n">
        <f aca="false">F$6*(Inputs!$D$29*$A11*Cases!B91-Cases!B92)-Cases!B93</f>
        <v>178.758460936228</v>
      </c>
      <c r="H11" s="53" t="n">
        <v>0.65</v>
      </c>
      <c r="I11" s="11" t="n">
        <f aca="false">($H11*Cases!B91-Cases!B92)-(Cases!B87+I$6*(Cases!B93-Cases!B87))</f>
        <v>112.928085115805</v>
      </c>
      <c r="J11" s="11" t="n">
        <f aca="false">($H11*Cases!B91-Cases!B92)-(Cases!B87+J$6*(Cases!B93-Cases!B87))</f>
        <v>86.2748099326863</v>
      </c>
      <c r="K11" s="11" t="n">
        <f aca="false">($H11*Cases!B91-Cases!B92)-(Cases!B87+K$6*(Cases!B93-Cases!B87))</f>
        <v>59.6215347495671</v>
      </c>
      <c r="L11" s="11" t="n">
        <f aca="false">($H11*Cases!B91-Cases!B92)-(Cases!B87+L$6*(Cases!B93-Cases!B87))</f>
        <v>6.31498438332881</v>
      </c>
      <c r="M11" s="11" t="n">
        <f aca="false">($H11*Cases!B91-Cases!B92)-(Cases!B87+M$6*(Cases!B93-Cases!B87))</f>
        <v>-46.9915659829095</v>
      </c>
    </row>
    <row r="14" customFormat="false" ht="15" hidden="false" customHeight="false" outlineLevel="0" collapsed="false">
      <c r="A14" s="3" t="str">
        <f aca="false">"Rank 2: "&amp;Cases!$B$179</f>
        <v>Rank 2: Cote d'Ivoire</v>
      </c>
      <c r="B14" s="51"/>
      <c r="C14" s="51"/>
      <c r="D14" s="51"/>
      <c r="E14" s="51"/>
      <c r="F14" s="51"/>
      <c r="G14" s="51"/>
      <c r="H14" s="51"/>
      <c r="I14" s="51"/>
      <c r="J14" s="51"/>
      <c r="K14" s="51"/>
      <c r="L14" s="51"/>
      <c r="M14" s="51"/>
    </row>
    <row r="15" customFormat="false" ht="15" hidden="false" customHeight="false" outlineLevel="0" collapsed="false">
      <c r="A15" s="2" t="s">
        <v>426</v>
      </c>
      <c r="H15" s="2" t="s">
        <v>427</v>
      </c>
    </row>
    <row r="16" customFormat="false" ht="15" hidden="false" customHeight="false" outlineLevel="0" collapsed="false">
      <c r="B16" s="52" t="n">
        <v>0.5</v>
      </c>
      <c r="C16" s="52" t="n">
        <v>0.75</v>
      </c>
      <c r="D16" s="52" t="n">
        <v>1</v>
      </c>
      <c r="E16" s="52" t="n">
        <v>1.25</v>
      </c>
      <c r="F16" s="52" t="n">
        <v>1.5</v>
      </c>
      <c r="I16" s="52" t="n">
        <v>0.5</v>
      </c>
      <c r="J16" s="52" t="n">
        <v>0.75</v>
      </c>
      <c r="K16" s="52" t="n">
        <v>1</v>
      </c>
      <c r="L16" s="52" t="n">
        <v>1.5</v>
      </c>
      <c r="M16" s="52" t="n">
        <v>2</v>
      </c>
    </row>
    <row r="17" customFormat="false" ht="15" hidden="false" customHeight="false" outlineLevel="0" collapsed="false">
      <c r="A17" s="52" t="n">
        <v>0.6</v>
      </c>
      <c r="B17" s="11" t="n">
        <f aca="false">B$16*(Inputs!$D$29*$A17*Cases!B211-Cases!B212)-Cases!B213</f>
        <v>-73.6646610261152</v>
      </c>
      <c r="C17" s="11" t="n">
        <f aca="false">C$16*(Inputs!$D$29*$A17*Cases!B211-Cases!B212)-Cases!B213</f>
        <v>-60.6040707484311</v>
      </c>
      <c r="D17" s="11" t="n">
        <f aca="false">D$16*(Inputs!$D$29*$A17*Cases!B211-Cases!B212)-Cases!B213</f>
        <v>-47.5434804707469</v>
      </c>
      <c r="E17" s="11" t="n">
        <f aca="false">E$16*(Inputs!$D$29*$A17*Cases!B211-Cases!B212)-Cases!B213</f>
        <v>-34.4828901930628</v>
      </c>
      <c r="F17" s="11" t="n">
        <f aca="false">F$16*(Inputs!$D$29*$A17*Cases!B211-Cases!B212)-Cases!B213</f>
        <v>-21.4222999153787</v>
      </c>
      <c r="H17" s="53" t="n">
        <v>0.35</v>
      </c>
      <c r="I17" s="11" t="n">
        <f aca="false">($H17*Cases!B211-Cases!B212)-(Cases!B207+I$16*(Cases!B213-Cases!B207))</f>
        <v>2.00329871927367</v>
      </c>
      <c r="J17" s="11" t="n">
        <f aca="false">($H17*Cases!B211-Cases!B212)-(Cases!B207+J$16*(Cases!B213-Cases!B207))</f>
        <v>-18.117537381164</v>
      </c>
      <c r="K17" s="11" t="n">
        <f aca="false">($H17*Cases!B211-Cases!B212)-(Cases!B207+K$16*(Cases!B213-Cases!B207))</f>
        <v>-38.2383734816017</v>
      </c>
      <c r="L17" s="11" t="n">
        <f aca="false">($H17*Cases!B211-Cases!B212)-(Cases!B207+L$16*(Cases!B213-Cases!B207))</f>
        <v>-78.4800456824771</v>
      </c>
      <c r="M17" s="11" t="n">
        <f aca="false">($H17*Cases!B211-Cases!B212)-(Cases!B207+M$16*(Cases!B213-Cases!B207))</f>
        <v>-118.721717883353</v>
      </c>
    </row>
    <row r="18" customFormat="false" ht="15" hidden="false" customHeight="false" outlineLevel="0" collapsed="false">
      <c r="A18" s="52" t="n">
        <v>0.8</v>
      </c>
      <c r="B18" s="11" t="n">
        <f aca="false">B$16*(Inputs!$D$29*$A18*Cases!B211-Cases!B212)-Cases!B213</f>
        <v>-64.3595540369699</v>
      </c>
      <c r="C18" s="11" t="n">
        <f aca="false">C$16*(Inputs!$D$29*$A18*Cases!B211-Cases!B212)-Cases!B213</f>
        <v>-46.6464102647132</v>
      </c>
      <c r="D18" s="11" t="n">
        <f aca="false">D$16*(Inputs!$D$29*$A18*Cases!B211-Cases!B212)-Cases!B213</f>
        <v>-28.9332664924565</v>
      </c>
      <c r="E18" s="11" t="n">
        <f aca="false">E$16*(Inputs!$D$29*$A18*Cases!B211-Cases!B212)-Cases!B213</f>
        <v>-11.2201227201998</v>
      </c>
      <c r="F18" s="11" t="n">
        <f aca="false">F$16*(Inputs!$D$29*$A18*Cases!B211-Cases!B212)-Cases!B213</f>
        <v>6.49302105205695</v>
      </c>
      <c r="H18" s="53" t="n">
        <v>0.425</v>
      </c>
      <c r="I18" s="11" t="n">
        <f aca="false">($H18*Cases!B211-Cases!B212)-(Cases!B207+I$16*(Cases!B213-Cases!B207))</f>
        <v>15.9609592029915</v>
      </c>
      <c r="J18" s="11" t="n">
        <f aca="false">($H18*Cases!B211-Cases!B212)-(Cases!B207+J$16*(Cases!B213-Cases!B207))</f>
        <v>-4.1598768974462</v>
      </c>
      <c r="K18" s="11" t="n">
        <f aca="false">($H18*Cases!B211-Cases!B212)-(Cases!B207+K$16*(Cases!B213-Cases!B207))</f>
        <v>-24.2807129978839</v>
      </c>
      <c r="L18" s="11" t="n">
        <f aca="false">($H18*Cases!B211-Cases!B212)-(Cases!B207+L$16*(Cases!B213-Cases!B207))</f>
        <v>-64.5223851987593</v>
      </c>
      <c r="M18" s="11" t="n">
        <f aca="false">($H18*Cases!B211-Cases!B212)-(Cases!B207+M$16*(Cases!B213-Cases!B207))</f>
        <v>-104.764057399635</v>
      </c>
    </row>
    <row r="19" customFormat="false" ht="15" hidden="false" customHeight="false" outlineLevel="0" collapsed="false">
      <c r="A19" s="52" t="n">
        <v>1</v>
      </c>
      <c r="B19" s="11" t="n">
        <f aca="false">B$16*(Inputs!$D$29*$A19*Cases!B211-Cases!B212)-Cases!B213</f>
        <v>-55.0544470478247</v>
      </c>
      <c r="C19" s="11" t="n">
        <f aca="false">C$16*(Inputs!$D$29*$A19*Cases!B211-Cases!B212)-Cases!B213</f>
        <v>-32.6887497809954</v>
      </c>
      <c r="D19" s="11" t="n">
        <f aca="false">D$16*(Inputs!$D$29*$A19*Cases!B211-Cases!B212)-Cases!B213</f>
        <v>-10.3230525141661</v>
      </c>
      <c r="E19" s="11" t="n">
        <f aca="false">E$16*(Inputs!$D$29*$A19*Cases!B211-Cases!B212)-Cases!B213</f>
        <v>12.0426447526633</v>
      </c>
      <c r="F19" s="11" t="n">
        <f aca="false">F$16*(Inputs!$D$29*$A19*Cases!B211-Cases!B212)-Cases!B213</f>
        <v>34.4083420194926</v>
      </c>
      <c r="H19" s="53" t="n">
        <v>0.5</v>
      </c>
      <c r="I19" s="11" t="n">
        <f aca="false">($H19*Cases!B211-Cases!B212)-(Cases!B207+I$16*(Cases!B213-Cases!B207))</f>
        <v>29.9186196867093</v>
      </c>
      <c r="J19" s="11" t="n">
        <f aca="false">($H19*Cases!B211-Cases!B212)-(Cases!B207+J$16*(Cases!B213-Cases!B207))</f>
        <v>9.79778358627165</v>
      </c>
      <c r="K19" s="11" t="n">
        <f aca="false">($H19*Cases!B211-Cases!B212)-(Cases!B207+K$16*(Cases!B213-Cases!B207))</f>
        <v>-10.3230525141661</v>
      </c>
      <c r="L19" s="11" t="n">
        <f aca="false">($H19*Cases!B211-Cases!B212)-(Cases!B207+L$16*(Cases!B213-Cases!B207))</f>
        <v>-50.5647247150414</v>
      </c>
      <c r="M19" s="11" t="n">
        <f aca="false">($H19*Cases!B211-Cases!B212)-(Cases!B207+M$16*(Cases!B213-Cases!B207))</f>
        <v>-90.8063969159168</v>
      </c>
    </row>
    <row r="20" customFormat="false" ht="15" hidden="false" customHeight="false" outlineLevel="0" collapsed="false">
      <c r="A20" s="52" t="n">
        <v>1.2</v>
      </c>
      <c r="B20" s="11" t="n">
        <f aca="false">B$16*(Inputs!$D$29*$A20*Cases!B211-Cases!B212)-Cases!B213</f>
        <v>-45.7493400586795</v>
      </c>
      <c r="C20" s="11" t="n">
        <f aca="false">C$16*(Inputs!$D$29*$A20*Cases!B211-Cases!B212)-Cases!B213</f>
        <v>-18.7310892972776</v>
      </c>
      <c r="D20" s="11" t="n">
        <f aca="false">D$16*(Inputs!$D$29*$A20*Cases!B211-Cases!B212)-Cases!B213</f>
        <v>8.2871614641244</v>
      </c>
      <c r="E20" s="11" t="n">
        <f aca="false">E$16*(Inputs!$D$29*$A20*Cases!B211-Cases!B212)-Cases!B213</f>
        <v>35.3054122255263</v>
      </c>
      <c r="F20" s="11" t="n">
        <f aca="false">F$16*(Inputs!$D$29*$A20*Cases!B211-Cases!B212)-Cases!B213</f>
        <v>62.3236629869283</v>
      </c>
      <c r="H20" s="53" t="n">
        <v>0.575</v>
      </c>
      <c r="I20" s="11" t="n">
        <f aca="false">($H20*Cases!B211-Cases!B212)-(Cases!B207+I$16*(Cases!B213-Cases!B207))</f>
        <v>43.8762801704272</v>
      </c>
      <c r="J20" s="11" t="n">
        <f aca="false">($H20*Cases!B211-Cases!B212)-(Cases!B207+J$16*(Cases!B213-Cases!B207))</f>
        <v>23.7554440699895</v>
      </c>
      <c r="K20" s="11" t="n">
        <f aca="false">($H20*Cases!B211-Cases!B212)-(Cases!B207+K$16*(Cases!B213-Cases!B207))</f>
        <v>3.63460796955178</v>
      </c>
      <c r="L20" s="11" t="n">
        <f aca="false">($H20*Cases!B211-Cases!B212)-(Cases!B207+L$16*(Cases!B213-Cases!B207))</f>
        <v>-36.6070642313236</v>
      </c>
      <c r="M20" s="11" t="n">
        <f aca="false">($H20*Cases!B211-Cases!B212)-(Cases!B207+M$16*(Cases!B213-Cases!B207))</f>
        <v>-76.848736432199</v>
      </c>
    </row>
    <row r="21" customFormat="false" ht="15" hidden="false" customHeight="false" outlineLevel="0" collapsed="false">
      <c r="A21" s="52" t="n">
        <v>1.4</v>
      </c>
      <c r="B21" s="11" t="n">
        <f aca="false">B$16*(Inputs!$D$29*$A21*Cases!B211-Cases!B212)-Cases!B213</f>
        <v>-36.4442330695343</v>
      </c>
      <c r="C21" s="11" t="n">
        <f aca="false">C$16*(Inputs!$D$29*$A21*Cases!B211-Cases!B212)-Cases!B213</f>
        <v>-4.77342881355972</v>
      </c>
      <c r="D21" s="11" t="n">
        <f aca="false">D$16*(Inputs!$D$29*$A21*Cases!B211-Cases!B212)-Cases!B213</f>
        <v>26.8973754424148</v>
      </c>
      <c r="E21" s="11" t="n">
        <f aca="false">E$16*(Inputs!$D$29*$A21*Cases!B211-Cases!B212)-Cases!B213</f>
        <v>58.5681796983894</v>
      </c>
      <c r="F21" s="11" t="n">
        <f aca="false">F$16*(Inputs!$D$29*$A21*Cases!B211-Cases!B212)-Cases!B213</f>
        <v>90.238983954364</v>
      </c>
      <c r="H21" s="53" t="n">
        <v>0.65</v>
      </c>
      <c r="I21" s="11" t="n">
        <f aca="false">($H21*Cases!B211-Cases!B212)-(Cases!B207+I$16*(Cases!B213-Cases!B207))</f>
        <v>57.833940654145</v>
      </c>
      <c r="J21" s="11" t="n">
        <f aca="false">($H21*Cases!B211-Cases!B212)-(Cases!B207+J$16*(Cases!B213-Cases!B207))</f>
        <v>37.7131045537073</v>
      </c>
      <c r="K21" s="11" t="n">
        <f aca="false">($H21*Cases!B211-Cases!B212)-(Cases!B207+K$16*(Cases!B213-Cases!B207))</f>
        <v>17.5922684532696</v>
      </c>
      <c r="L21" s="11" t="n">
        <f aca="false">($H21*Cases!B211-Cases!B212)-(Cases!B207+L$16*(Cases!B213-Cases!B207))</f>
        <v>-22.6494037476058</v>
      </c>
      <c r="M21" s="11" t="n">
        <f aca="false">($H21*Cases!B211-Cases!B212)-(Cases!B207+M$16*(Cases!B213-Cases!B207))</f>
        <v>-62.8910759484812</v>
      </c>
    </row>
    <row r="24" customFormat="false" ht="15" hidden="false" customHeight="false" outlineLevel="0" collapsed="false">
      <c r="A24" s="3" t="str">
        <f aca="false">"Rank 3: "&amp;Cases!$B$299</f>
        <v>Rank 3: Uganda</v>
      </c>
      <c r="B24" s="51"/>
      <c r="C24" s="51"/>
      <c r="D24" s="51"/>
      <c r="E24" s="51"/>
      <c r="F24" s="51"/>
      <c r="G24" s="51"/>
      <c r="H24" s="51"/>
      <c r="I24" s="51"/>
      <c r="J24" s="51"/>
      <c r="K24" s="51"/>
      <c r="L24" s="51"/>
      <c r="M24" s="51"/>
    </row>
    <row r="25" customFormat="false" ht="15" hidden="false" customHeight="false" outlineLevel="0" collapsed="false">
      <c r="A25" s="2" t="s">
        <v>426</v>
      </c>
      <c r="H25" s="2" t="s">
        <v>427</v>
      </c>
    </row>
    <row r="26" customFormat="false" ht="15" hidden="false" customHeight="false" outlineLevel="0" collapsed="false">
      <c r="B26" s="52" t="n">
        <v>0.5</v>
      </c>
      <c r="C26" s="52" t="n">
        <v>0.75</v>
      </c>
      <c r="D26" s="52" t="n">
        <v>1</v>
      </c>
      <c r="E26" s="52" t="n">
        <v>1.25</v>
      </c>
      <c r="F26" s="52" t="n">
        <v>1.5</v>
      </c>
      <c r="I26" s="52" t="n">
        <v>0.5</v>
      </c>
      <c r="J26" s="52" t="n">
        <v>0.75</v>
      </c>
      <c r="K26" s="52" t="n">
        <v>1</v>
      </c>
      <c r="L26" s="52" t="n">
        <v>1.5</v>
      </c>
      <c r="M26" s="52" t="n">
        <v>2</v>
      </c>
    </row>
    <row r="27" customFormat="false" ht="15" hidden="false" customHeight="false" outlineLevel="0" collapsed="false">
      <c r="A27" s="52" t="n">
        <v>0.6</v>
      </c>
      <c r="B27" s="11" t="n">
        <f aca="false">B$26*(Inputs!$D$29*$A27*Cases!B331-Cases!B332)-Cases!B333</f>
        <v>-91.1824773289946</v>
      </c>
      <c r="C27" s="11" t="n">
        <f aca="false">C$26*(Inputs!$D$29*$A27*Cases!B331-Cases!B332)-Cases!B333</f>
        <v>-78.6583450120219</v>
      </c>
      <c r="D27" s="11" t="n">
        <f aca="false">D$26*(Inputs!$D$29*$A27*Cases!B331-Cases!B332)-Cases!B333</f>
        <v>-66.1342126950491</v>
      </c>
      <c r="E27" s="11" t="n">
        <f aca="false">E$26*(Inputs!$D$29*$A27*Cases!B331-Cases!B332)-Cases!B333</f>
        <v>-53.6100803780764</v>
      </c>
      <c r="F27" s="11" t="n">
        <f aca="false">F$26*(Inputs!$D$29*$A27*Cases!B331-Cases!B332)-Cases!B333</f>
        <v>-41.0859480611037</v>
      </c>
      <c r="H27" s="53" t="n">
        <v>0.35</v>
      </c>
      <c r="I27" s="11" t="n">
        <f aca="false">($H27*Cases!B331-Cases!B332)-(Cases!B327+I$26*(Cases!B333-Cases!B327))</f>
        <v>-10.282236559605</v>
      </c>
      <c r="J27" s="11" t="n">
        <f aca="false">($H27*Cases!B331-Cases!B332)-(Cases!B327+J$26*(Cases!B333-Cases!B327))</f>
        <v>-33.6790679870214</v>
      </c>
      <c r="K27" s="11" t="n">
        <f aca="false">($H27*Cases!B331-Cases!B332)-(Cases!B327+K$26*(Cases!B333-Cases!B327))</f>
        <v>-57.0758994144378</v>
      </c>
      <c r="L27" s="11" t="n">
        <f aca="false">($H27*Cases!B331-Cases!B332)-(Cases!B327+L$26*(Cases!B333-Cases!B327))</f>
        <v>-103.869562269271</v>
      </c>
      <c r="M27" s="11" t="n">
        <f aca="false">($H27*Cases!B331-Cases!B332)-(Cases!B327+M$26*(Cases!B333-Cases!B327))</f>
        <v>-150.663225124103</v>
      </c>
    </row>
    <row r="28" customFormat="false" ht="15" hidden="false" customHeight="false" outlineLevel="0" collapsed="false">
      <c r="A28" s="52" t="n">
        <v>0.8</v>
      </c>
      <c r="B28" s="11" t="n">
        <f aca="false">B$26*(Inputs!$D$29*$A28*Cases!B331-Cases!B332)-Cases!B333</f>
        <v>-82.1241640483833</v>
      </c>
      <c r="C28" s="11" t="n">
        <f aca="false">C$26*(Inputs!$D$29*$A28*Cases!B331-Cases!B332)-Cases!B333</f>
        <v>-65.0708750911049</v>
      </c>
      <c r="D28" s="11" t="n">
        <f aca="false">D$26*(Inputs!$D$29*$A28*Cases!B331-Cases!B332)-Cases!B333</f>
        <v>-48.0175861338265</v>
      </c>
      <c r="E28" s="11" t="n">
        <f aca="false">E$26*(Inputs!$D$29*$A28*Cases!B331-Cases!B332)-Cases!B333</f>
        <v>-30.964297176548</v>
      </c>
      <c r="F28" s="11" t="n">
        <f aca="false">F$26*(Inputs!$D$29*$A28*Cases!B331-Cases!B332)-Cases!B333</f>
        <v>-13.9110082192696</v>
      </c>
      <c r="H28" s="53" t="n">
        <v>0.425</v>
      </c>
      <c r="I28" s="11" t="n">
        <f aca="false">($H28*Cases!B331-Cases!B332)-(Cases!B327+I$26*(Cases!B333-Cases!B327))</f>
        <v>3.30523336131198</v>
      </c>
      <c r="J28" s="11" t="n">
        <f aca="false">($H28*Cases!B331-Cases!B332)-(Cases!B327+J$26*(Cases!B333-Cases!B327))</f>
        <v>-20.0915980661044</v>
      </c>
      <c r="K28" s="11" t="n">
        <f aca="false">($H28*Cases!B331-Cases!B332)-(Cases!B327+K$26*(Cases!B333-Cases!B327))</f>
        <v>-43.4884294935208</v>
      </c>
      <c r="L28" s="11" t="n">
        <f aca="false">($H28*Cases!B331-Cases!B332)-(Cases!B327+L$26*(Cases!B333-Cases!B327))</f>
        <v>-90.2820923483536</v>
      </c>
      <c r="M28" s="11" t="n">
        <f aca="false">($H28*Cases!B331-Cases!B332)-(Cases!B327+M$26*(Cases!B333-Cases!B327))</f>
        <v>-137.075755203186</v>
      </c>
    </row>
    <row r="29" customFormat="false" ht="15" hidden="false" customHeight="false" outlineLevel="0" collapsed="false">
      <c r="A29" s="52" t="n">
        <v>1</v>
      </c>
      <c r="B29" s="11" t="n">
        <f aca="false">B$26*(Inputs!$D$29*$A29*Cases!B331-Cases!B332)-Cases!B333</f>
        <v>-73.065850767772</v>
      </c>
      <c r="C29" s="11" t="n">
        <f aca="false">C$26*(Inputs!$D$29*$A29*Cases!B331-Cases!B332)-Cases!B333</f>
        <v>-51.4834051701879</v>
      </c>
      <c r="D29" s="11" t="n">
        <f aca="false">D$26*(Inputs!$D$29*$A29*Cases!B331-Cases!B332)-Cases!B333</f>
        <v>-29.9009595726038</v>
      </c>
      <c r="E29" s="11" t="n">
        <f aca="false">E$26*(Inputs!$D$29*$A29*Cases!B331-Cases!B332)-Cases!B333</f>
        <v>-8.3185139750197</v>
      </c>
      <c r="F29" s="11" t="n">
        <f aca="false">F$26*(Inputs!$D$29*$A29*Cases!B331-Cases!B332)-Cases!B333</f>
        <v>13.2639316225644</v>
      </c>
      <c r="H29" s="53" t="n">
        <v>0.5</v>
      </c>
      <c r="I29" s="11" t="n">
        <f aca="false">($H29*Cases!B331-Cases!B332)-(Cases!B327+I$26*(Cases!B333-Cases!B327))</f>
        <v>16.892703282229</v>
      </c>
      <c r="J29" s="11" t="n">
        <f aca="false">($H29*Cases!B331-Cases!B332)-(Cases!B327+J$26*(Cases!B333-Cases!B327))</f>
        <v>-6.50412814518738</v>
      </c>
      <c r="K29" s="11" t="n">
        <f aca="false">($H29*Cases!B331-Cases!B332)-(Cases!B327+K$26*(Cases!B333-Cases!B327))</f>
        <v>-29.9009595726038</v>
      </c>
      <c r="L29" s="11" t="n">
        <f aca="false">($H29*Cases!B331-Cases!B332)-(Cases!B327+L$26*(Cases!B333-Cases!B327))</f>
        <v>-76.6946224274366</v>
      </c>
      <c r="M29" s="11" t="n">
        <f aca="false">($H29*Cases!B331-Cases!B332)-(Cases!B327+M$26*(Cases!B333-Cases!B327))</f>
        <v>-123.488285282269</v>
      </c>
    </row>
    <row r="30" customFormat="false" ht="15" hidden="false" customHeight="false" outlineLevel="0" collapsed="false">
      <c r="A30" s="52" t="n">
        <v>1.2</v>
      </c>
      <c r="B30" s="11" t="n">
        <f aca="false">B$26*(Inputs!$D$29*$A30*Cases!B331-Cases!B332)-Cases!B333</f>
        <v>-64.0075374871606</v>
      </c>
      <c r="C30" s="11" t="n">
        <f aca="false">C$26*(Inputs!$D$29*$A30*Cases!B331-Cases!B332)-Cases!B333</f>
        <v>-37.8959352492709</v>
      </c>
      <c r="D30" s="11" t="n">
        <f aca="false">D$26*(Inputs!$D$29*$A30*Cases!B331-Cases!B332)-Cases!B333</f>
        <v>-11.7843330113811</v>
      </c>
      <c r="E30" s="11" t="n">
        <f aca="false">E$26*(Inputs!$D$29*$A30*Cases!B331-Cases!B332)-Cases!B333</f>
        <v>14.3272692265087</v>
      </c>
      <c r="F30" s="11" t="n">
        <f aca="false">F$26*(Inputs!$D$29*$A30*Cases!B331-Cases!B332)-Cases!B333</f>
        <v>40.4388714643984</v>
      </c>
      <c r="H30" s="53" t="n">
        <v>0.575</v>
      </c>
      <c r="I30" s="11" t="n">
        <f aca="false">($H30*Cases!B331-Cases!B332)-(Cases!B327+I$26*(Cases!B333-Cases!B327))</f>
        <v>30.480173203146</v>
      </c>
      <c r="J30" s="11" t="n">
        <f aca="false">($H30*Cases!B331-Cases!B332)-(Cases!B327+J$26*(Cases!B333-Cases!B327))</f>
        <v>7.08334177572962</v>
      </c>
      <c r="K30" s="11" t="n">
        <f aca="false">($H30*Cases!B331-Cases!B332)-(Cases!B327+K$26*(Cases!B333-Cases!B327))</f>
        <v>-16.3134896516868</v>
      </c>
      <c r="L30" s="11" t="n">
        <f aca="false">($H30*Cases!B331-Cases!B332)-(Cases!B327+L$26*(Cases!B333-Cases!B327))</f>
        <v>-63.1071525065196</v>
      </c>
      <c r="M30" s="11" t="n">
        <f aca="false">($H30*Cases!B331-Cases!B332)-(Cases!B327+M$26*(Cases!B333-Cases!B327))</f>
        <v>-109.900815361352</v>
      </c>
    </row>
    <row r="31" customFormat="false" ht="15" hidden="false" customHeight="false" outlineLevel="0" collapsed="false">
      <c r="A31" s="52" t="n">
        <v>1.4</v>
      </c>
      <c r="B31" s="11" t="n">
        <f aca="false">B$26*(Inputs!$D$29*$A31*Cases!B331-Cases!B332)-Cases!B333</f>
        <v>-54.9492242065493</v>
      </c>
      <c r="C31" s="11" t="n">
        <f aca="false">C$26*(Inputs!$D$29*$A31*Cases!B331-Cases!B332)-Cases!B333</f>
        <v>-24.3084653283538</v>
      </c>
      <c r="D31" s="11" t="n">
        <f aca="false">D$26*(Inputs!$D$29*$A31*Cases!B331-Cases!B332)-Cases!B333</f>
        <v>6.33229354984158</v>
      </c>
      <c r="E31" s="11" t="n">
        <f aca="false">E$26*(Inputs!$D$29*$A31*Cases!B331-Cases!B332)-Cases!B333</f>
        <v>36.973052428037</v>
      </c>
      <c r="F31" s="11" t="n">
        <f aca="false">F$26*(Inputs!$D$29*$A31*Cases!B331-Cases!B332)-Cases!B333</f>
        <v>67.6138113062324</v>
      </c>
      <c r="H31" s="53" t="n">
        <v>0.65</v>
      </c>
      <c r="I31" s="11" t="n">
        <f aca="false">($H31*Cases!B331-Cases!B332)-(Cases!B327+I$26*(Cases!B333-Cases!B327))</f>
        <v>44.067643124063</v>
      </c>
      <c r="J31" s="11" t="n">
        <f aca="false">($H31*Cases!B331-Cases!B332)-(Cases!B327+J$26*(Cases!B333-Cases!B327))</f>
        <v>20.6708116966467</v>
      </c>
      <c r="K31" s="11" t="n">
        <f aca="false">($H31*Cases!B331-Cases!B332)-(Cases!B327+K$26*(Cases!B333-Cases!B327))</f>
        <v>-2.72601973076975</v>
      </c>
      <c r="L31" s="11" t="n">
        <f aca="false">($H31*Cases!B331-Cases!B332)-(Cases!B327+L$26*(Cases!B333-Cases!B327))</f>
        <v>-49.5196825856025</v>
      </c>
      <c r="M31" s="11" t="n">
        <f aca="false">($H31*Cases!B331-Cases!B332)-(Cases!B327+M$26*(Cases!B333-Cases!B327))</f>
        <v>-96.3133454404353</v>
      </c>
    </row>
  </sheetData>
  <conditionalFormatting sqref="B6:M40">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7A7A"/>
    <pageSetUpPr fitToPage="false"/>
  </sheetPr>
  <dimension ref="A1:H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4"/>
    <col collapsed="false" customWidth="true" hidden="false" outlineLevel="0" max="2" min="2" style="0" width="18"/>
    <col collapsed="false" customWidth="true" hidden="false" outlineLevel="0" max="3" min="3" style="0" width="14"/>
    <col collapsed="false" customWidth="true" hidden="false" outlineLevel="0" max="4" min="4" style="0" width="16"/>
    <col collapsed="false" customWidth="true" hidden="false" outlineLevel="0" max="5" min="5" style="0" width="18"/>
    <col collapsed="false" customWidth="true" hidden="false" outlineLevel="0" max="6" min="6" style="0" width="14"/>
    <col collapsed="false" customWidth="true" hidden="false" outlineLevel="0" max="7" min="7" style="0" width="10"/>
  </cols>
  <sheetData>
    <row r="1" customFormat="false" ht="17.35" hidden="false" customHeight="false" outlineLevel="0" collapsed="false">
      <c r="A1" s="1" t="s">
        <v>428</v>
      </c>
    </row>
    <row r="2" customFormat="false" ht="15" hidden="false" customHeight="false" outlineLevel="0" collapsed="false">
      <c r="A2" s="2" t="s">
        <v>429</v>
      </c>
    </row>
    <row r="4" customFormat="false" ht="15" hidden="false" customHeight="false" outlineLevel="0" collapsed="false">
      <c r="A4" s="3" t="s">
        <v>430</v>
      </c>
      <c r="B4" s="51"/>
      <c r="C4" s="51"/>
      <c r="D4" s="51"/>
      <c r="E4" s="51"/>
      <c r="F4" s="51"/>
      <c r="G4" s="51"/>
      <c r="H4" s="51"/>
    </row>
    <row r="5" customFormat="false" ht="15" hidden="false" customHeight="false" outlineLevel="0" collapsed="false">
      <c r="A5" s="5" t="s">
        <v>431</v>
      </c>
    </row>
    <row r="6" customFormat="false" ht="15" hidden="false" customHeight="false" outlineLevel="0" collapsed="false">
      <c r="A6" s="5" t="s">
        <v>432</v>
      </c>
      <c r="B6" s="28" t="n">
        <v>25.5304215049538</v>
      </c>
    </row>
    <row r="7" customFormat="false" ht="15" hidden="false" customHeight="false" outlineLevel="0" collapsed="false">
      <c r="A7" s="5" t="s">
        <v>433</v>
      </c>
      <c r="B7" s="28" t="n">
        <v>21.0087542267506</v>
      </c>
    </row>
    <row r="8" customFormat="false" ht="15" hidden="false" customHeight="false" outlineLevel="0" collapsed="false">
      <c r="A8" s="5" t="s">
        <v>434</v>
      </c>
      <c r="B8" s="17" t="n">
        <v>30</v>
      </c>
    </row>
    <row r="9" customFormat="false" ht="15" hidden="false" customHeight="false" outlineLevel="0" collapsed="false">
      <c r="A9" s="2" t="s">
        <v>435</v>
      </c>
    </row>
    <row r="11" customFormat="false" ht="15" hidden="false" customHeight="false" outlineLevel="0" collapsed="false">
      <c r="A11" s="3" t="s">
        <v>436</v>
      </c>
      <c r="B11" s="51"/>
      <c r="C11" s="51"/>
      <c r="D11" s="51"/>
      <c r="E11" s="51"/>
      <c r="F11" s="51"/>
      <c r="G11" s="51"/>
      <c r="H11" s="51"/>
    </row>
    <row r="12" customFormat="false" ht="30" hidden="false" customHeight="true" outlineLevel="0" collapsed="false">
      <c r="A12" s="9" t="s">
        <v>437</v>
      </c>
      <c r="B12" s="9" t="s">
        <v>438</v>
      </c>
      <c r="C12" s="9" t="s">
        <v>439</v>
      </c>
      <c r="D12" s="9" t="s">
        <v>440</v>
      </c>
      <c r="E12" s="9" t="s">
        <v>441</v>
      </c>
      <c r="F12" s="9" t="s">
        <v>439</v>
      </c>
      <c r="G12" s="9" t="s">
        <v>440</v>
      </c>
    </row>
    <row r="13" customFormat="false" ht="15" hidden="false" customHeight="false" outlineLevel="0" collapsed="false">
      <c r="A13" s="5" t="s">
        <v>442</v>
      </c>
      <c r="B13" s="24" t="n">
        <v>-2.96958786716854</v>
      </c>
      <c r="C13" s="24" t="n">
        <v>3.34761668153712</v>
      </c>
      <c r="D13" s="23" t="n">
        <v>-0.887075238794962</v>
      </c>
      <c r="E13" s="24" t="n">
        <v>-0.934654104348699</v>
      </c>
      <c r="F13" s="24" t="n">
        <v>4.18394796928392</v>
      </c>
      <c r="G13" s="23" t="n">
        <v>-0.223390470247331</v>
      </c>
    </row>
    <row r="14" customFormat="false" ht="15" hidden="false" customHeight="false" outlineLevel="0" collapsed="false">
      <c r="A14" s="5" t="s">
        <v>443</v>
      </c>
      <c r="B14" s="24" t="n">
        <v>-0.0676486239189549</v>
      </c>
      <c r="C14" s="24" t="n">
        <v>0.500955277996433</v>
      </c>
      <c r="D14" s="23" t="n">
        <v>-0.135039247793765</v>
      </c>
      <c r="E14" s="24" t="n">
        <v>-0.387099278067776</v>
      </c>
      <c r="F14" s="24" t="n">
        <v>0.630020406541512</v>
      </c>
      <c r="G14" s="23" t="n">
        <v>-0.614423396525761</v>
      </c>
    </row>
    <row r="15" customFormat="false" ht="15" hidden="false" customHeight="false" outlineLevel="0" collapsed="false">
      <c r="A15" s="5" t="s">
        <v>444</v>
      </c>
      <c r="B15" s="24" t="n">
        <v>0.00346607723991744</v>
      </c>
      <c r="C15" s="24" t="n">
        <v>0.0170732925279196</v>
      </c>
      <c r="D15" s="23" t="n">
        <v>0.203011647240826</v>
      </c>
      <c r="E15" s="24" t="n">
        <v>0.00881912947643794</v>
      </c>
      <c r="F15" s="24" t="n">
        <v>0.0169938434443667</v>
      </c>
      <c r="G15" s="23" t="n">
        <v>0.518960263774903</v>
      </c>
    </row>
    <row r="16" customFormat="false" ht="15" hidden="false" customHeight="false" outlineLevel="0" collapsed="false">
      <c r="A16" s="5" t="s">
        <v>445</v>
      </c>
      <c r="B16" s="24" t="n">
        <v>0.0132379648080739</v>
      </c>
      <c r="C16" s="24" t="n">
        <v>0.00803935112733758</v>
      </c>
      <c r="D16" s="23" t="n">
        <v>1.64664592930375</v>
      </c>
      <c r="E16" s="24" t="n">
        <v>0.0158226852786542</v>
      </c>
      <c r="F16" s="24" t="n">
        <v>0.00840291608337729</v>
      </c>
      <c r="G16" s="23" t="n">
        <v>1.88299932090894</v>
      </c>
    </row>
    <row r="17" customFormat="false" ht="15" hidden="false" customHeight="false" outlineLevel="0" collapsed="false">
      <c r="A17" s="5" t="s">
        <v>446</v>
      </c>
      <c r="B17" s="24" t="n">
        <v>-0.0097154534671447</v>
      </c>
      <c r="C17" s="24" t="n">
        <v>0.015411277728354</v>
      </c>
      <c r="D17" s="23" t="n">
        <v>-0.630411938477367</v>
      </c>
      <c r="E17" s="24" t="n">
        <v>-0.0122230803987236</v>
      </c>
      <c r="F17" s="24" t="n">
        <v>0.0148009035056118</v>
      </c>
      <c r="G17" s="23" t="n">
        <v>-0.825833395514618</v>
      </c>
    </row>
    <row r="18" customFormat="false" ht="15" hidden="false" customHeight="false" outlineLevel="0" collapsed="false">
      <c r="A18" s="5" t="s">
        <v>447</v>
      </c>
      <c r="B18" s="24" t="n">
        <v>0.000708251293228047</v>
      </c>
      <c r="C18" s="24" t="n">
        <v>0.0402532295484594</v>
      </c>
      <c r="D18" s="23" t="n">
        <v>0.0175948936563067</v>
      </c>
      <c r="E18" s="24" t="n">
        <v>-0.00652116559568466</v>
      </c>
      <c r="F18" s="24" t="n">
        <v>0.0432116991675784</v>
      </c>
      <c r="G18" s="23" t="n">
        <v>-0.150912038205095</v>
      </c>
    </row>
    <row r="19" customFormat="false" ht="15" hidden="false" customHeight="false" outlineLevel="0" collapsed="false">
      <c r="A19" s="5" t="s">
        <v>448</v>
      </c>
      <c r="E19" s="24" t="n">
        <v>1.19059931093442</v>
      </c>
      <c r="F19" s="24" t="n">
        <v>1.30635466428623</v>
      </c>
      <c r="G19" s="23" t="n">
        <v>0.911390561448295</v>
      </c>
    </row>
    <row r="20" customFormat="false" ht="15" hidden="false" customHeight="false" outlineLevel="0" collapsed="false">
      <c r="A20" s="5" t="s">
        <v>449</v>
      </c>
      <c r="B20" s="24" t="n">
        <v>1.29552798636282</v>
      </c>
      <c r="C20" s="24" t="n">
        <v>0.187990045076916</v>
      </c>
      <c r="D20" s="23" t="n">
        <v>6.89147122568516</v>
      </c>
      <c r="E20" s="24" t="n">
        <v>1.22052053565556</v>
      </c>
      <c r="F20" s="24" t="n">
        <v>0.201880841709047</v>
      </c>
      <c r="G20" s="23" t="n">
        <v>6.04574721069666</v>
      </c>
    </row>
    <row r="21" customFormat="false" ht="15" hidden="false" customHeight="false" outlineLevel="0" collapsed="false">
      <c r="A21" s="5" t="s">
        <v>450</v>
      </c>
      <c r="B21" s="24" t="n">
        <v>1.71764542438196</v>
      </c>
      <c r="C21" s="24" t="n">
        <v>0.263167157027123</v>
      </c>
      <c r="D21" s="23" t="n">
        <v>6.5268228900042</v>
      </c>
      <c r="E21" s="24" t="n">
        <v>1.632636001451</v>
      </c>
      <c r="F21" s="24" t="n">
        <v>0.295726770147726</v>
      </c>
      <c r="G21" s="23" t="n">
        <v>5.52075823448598</v>
      </c>
    </row>
    <row r="22" customFormat="false" ht="15" hidden="false" customHeight="false" outlineLevel="0" collapsed="false">
      <c r="A22" s="5" t="s">
        <v>451</v>
      </c>
      <c r="B22" s="24" t="n">
        <v>2.24937120820554</v>
      </c>
      <c r="C22" s="24" t="n">
        <v>0.274859928730335</v>
      </c>
      <c r="D22" s="23" t="n">
        <v>8.18370003439971</v>
      </c>
      <c r="E22" s="24" t="n">
        <v>2.18391261720524</v>
      </c>
      <c r="F22" s="24" t="n">
        <v>0.287200451561645</v>
      </c>
      <c r="G22" s="23" t="n">
        <v>7.60414061095751</v>
      </c>
    </row>
    <row r="23" customFormat="false" ht="15" hidden="false" customHeight="false" outlineLevel="0" collapsed="false">
      <c r="A23" s="5" t="s">
        <v>452</v>
      </c>
      <c r="B23" s="54" t="n">
        <v>0.396652537452482</v>
      </c>
      <c r="E23" s="54" t="n">
        <v>0.405696544528755</v>
      </c>
    </row>
    <row r="24" customFormat="false" ht="15" hidden="false" customHeight="false" outlineLevel="0" collapsed="false">
      <c r="A24" s="5" t="s">
        <v>453</v>
      </c>
      <c r="B24" s="55" t="s">
        <v>454</v>
      </c>
    </row>
    <row r="26" customFormat="false" ht="15" hidden="false" customHeight="false" outlineLevel="0" collapsed="false">
      <c r="A26" s="3" t="s">
        <v>455</v>
      </c>
      <c r="B26" s="51"/>
      <c r="C26" s="51"/>
      <c r="D26" s="51"/>
      <c r="E26" s="51"/>
      <c r="F26" s="51"/>
      <c r="G26" s="51"/>
      <c r="H26" s="51"/>
    </row>
    <row r="27" customFormat="false" ht="43.5" hidden="false" customHeight="true" outlineLevel="0" collapsed="false">
      <c r="A27" s="9" t="s">
        <v>456</v>
      </c>
      <c r="B27" s="9" t="s">
        <v>457</v>
      </c>
      <c r="C27" s="9" t="s">
        <v>458</v>
      </c>
      <c r="D27" s="9" t="s">
        <v>459</v>
      </c>
      <c r="E27" s="9" t="s">
        <v>460</v>
      </c>
      <c r="F27" s="9" t="s">
        <v>461</v>
      </c>
    </row>
    <row r="28" customFormat="false" ht="15" hidden="false" customHeight="false" outlineLevel="0" collapsed="false">
      <c r="A28" s="23" t="n">
        <v>0</v>
      </c>
      <c r="B28" s="23" t="n">
        <v>7.36097444432529</v>
      </c>
      <c r="C28" s="23" t="n">
        <v>2.79035064761774</v>
      </c>
      <c r="D28" s="23" t="n">
        <v>11.4139459687252</v>
      </c>
      <c r="E28" s="17" t="n">
        <v>34</v>
      </c>
      <c r="F28" s="24" t="n">
        <v>0.227422843934802</v>
      </c>
    </row>
    <row r="29" customFormat="false" ht="15" hidden="false" customHeight="false" outlineLevel="0" collapsed="false">
      <c r="A29" s="23" t="n">
        <v>0.25</v>
      </c>
      <c r="B29" s="23" t="n">
        <v>7.98729798036998</v>
      </c>
      <c r="C29" s="23" t="n">
        <v>3.35377232871393</v>
      </c>
      <c r="D29" s="23" t="n">
        <v>11.4139459687252</v>
      </c>
      <c r="E29" s="17" t="n">
        <v>34</v>
      </c>
      <c r="F29" s="24" t="n">
        <v>0.227422843934802</v>
      </c>
    </row>
    <row r="30" customFormat="false" ht="15" hidden="false" customHeight="false" outlineLevel="0" collapsed="false">
      <c r="A30" s="23" t="n">
        <v>0.5</v>
      </c>
      <c r="B30" s="23" t="n">
        <v>8.75456772134987</v>
      </c>
      <c r="C30" s="23" t="n">
        <v>3.89102104013383</v>
      </c>
      <c r="D30" s="23" t="n">
        <v>11.4139459687252</v>
      </c>
      <c r="E30" s="17" t="n">
        <v>34</v>
      </c>
      <c r="F30" s="24" t="n">
        <v>0.227422843934802</v>
      </c>
    </row>
    <row r="31" customFormat="false" ht="15" hidden="false" customHeight="false" outlineLevel="0" collapsed="false">
      <c r="A31" s="23" t="n">
        <v>0.75</v>
      </c>
      <c r="B31" s="23" t="n">
        <v>9.65732400239866</v>
      </c>
      <c r="C31" s="23" t="n">
        <v>4.39220415399175</v>
      </c>
      <c r="D31" s="23" t="n">
        <v>11.4139459687252</v>
      </c>
      <c r="E31" s="17" t="n">
        <v>34</v>
      </c>
      <c r="F31" s="24" t="n">
        <v>0.227422843934802</v>
      </c>
    </row>
    <row r="32" customFormat="false" ht="15" hidden="false" customHeight="false" outlineLevel="0" collapsed="false">
      <c r="A32" s="23" t="n">
        <v>1</v>
      </c>
      <c r="B32" s="23" t="n">
        <v>10.8426717818549</v>
      </c>
      <c r="C32" s="23" t="n">
        <v>4.80468748726216</v>
      </c>
      <c r="D32" s="23" t="n">
        <v>11.4139459687252</v>
      </c>
      <c r="E32" s="17" t="n">
        <v>34</v>
      </c>
      <c r="F32" s="24" t="n">
        <v>0.227422843934802</v>
      </c>
    </row>
    <row r="33" customFormat="false" ht="15" hidden="false" customHeight="false" outlineLevel="0" collapsed="false">
      <c r="A33" s="2" t="s">
        <v>462</v>
      </c>
    </row>
    <row r="35" customFormat="false" ht="15" hidden="false" customHeight="false" outlineLevel="0" collapsed="false">
      <c r="A35" s="3" t="s">
        <v>463</v>
      </c>
      <c r="B35" s="51"/>
      <c r="C35" s="51"/>
      <c r="D35" s="51"/>
      <c r="E35" s="51"/>
      <c r="F35" s="51"/>
      <c r="G35" s="51"/>
      <c r="H35" s="51"/>
    </row>
    <row r="36" customFormat="false" ht="42" hidden="false" customHeight="true" outlineLevel="0" collapsed="false">
      <c r="A36" s="9" t="s">
        <v>36</v>
      </c>
      <c r="B36" s="9" t="s">
        <v>464</v>
      </c>
      <c r="C36" s="9" t="s">
        <v>465</v>
      </c>
      <c r="D36" s="9" t="s">
        <v>466</v>
      </c>
      <c r="E36" s="9" t="s">
        <v>467</v>
      </c>
    </row>
    <row r="37" customFormat="false" ht="15" hidden="false" customHeight="false" outlineLevel="0" collapsed="false">
      <c r="A37" s="5" t="s">
        <v>277</v>
      </c>
      <c r="B37" s="17" t="n">
        <v>1</v>
      </c>
      <c r="C37" s="29" t="n">
        <v>0.263</v>
      </c>
      <c r="D37" s="29" t="n">
        <v>0.4914</v>
      </c>
      <c r="E37" s="29" t="n">
        <v>0.5858</v>
      </c>
    </row>
    <row r="38" customFormat="false" ht="15" hidden="false" customHeight="false" outlineLevel="0" collapsed="false">
      <c r="A38" s="5" t="s">
        <v>235</v>
      </c>
      <c r="B38" s="17" t="n">
        <v>2</v>
      </c>
      <c r="C38" s="29" t="n">
        <v>0.0256</v>
      </c>
      <c r="D38" s="29" t="n">
        <v>0.1242</v>
      </c>
      <c r="E38" s="29" t="n">
        <v>0.2506</v>
      </c>
    </row>
    <row r="39" customFormat="false" ht="15" hidden="false" customHeight="false" outlineLevel="0" collapsed="false">
      <c r="A39" s="5" t="s">
        <v>281</v>
      </c>
      <c r="B39" s="17" t="n">
        <v>3</v>
      </c>
      <c r="C39" s="29" t="n">
        <v>0.001</v>
      </c>
      <c r="D39" s="29" t="n">
        <v>0.0772</v>
      </c>
      <c r="E39" s="29" t="n">
        <v>0.2964</v>
      </c>
    </row>
    <row r="40" customFormat="false" ht="15" hidden="false" customHeight="false" outlineLevel="0" collapsed="false">
      <c r="A40" s="5" t="s">
        <v>231</v>
      </c>
      <c r="B40" s="17" t="n">
        <v>4</v>
      </c>
      <c r="C40" s="29" t="n">
        <v>0.2464</v>
      </c>
      <c r="D40" s="29" t="n">
        <v>0.3954</v>
      </c>
      <c r="E40" s="29" t="n">
        <v>0.5014</v>
      </c>
    </row>
    <row r="41" customFormat="false" ht="15" hidden="false" customHeight="false" outlineLevel="0" collapsed="false">
      <c r="A41" s="5" t="s">
        <v>216</v>
      </c>
      <c r="B41" s="17" t="n">
        <v>5</v>
      </c>
      <c r="C41" s="29" t="n">
        <v>0.007</v>
      </c>
      <c r="D41" s="29" t="n">
        <v>0.0272</v>
      </c>
      <c r="E41" s="29" t="n">
        <v>0.0746</v>
      </c>
    </row>
    <row r="42" customFormat="false" ht="15" hidden="false" customHeight="false" outlineLevel="0" collapsed="false">
      <c r="A42" s="5" t="s">
        <v>271</v>
      </c>
      <c r="B42" s="17" t="n">
        <v>6</v>
      </c>
      <c r="C42" s="29" t="n">
        <v>0.0606</v>
      </c>
      <c r="D42" s="29" t="n">
        <v>0.1984</v>
      </c>
      <c r="E42" s="29" t="n">
        <v>0.2526</v>
      </c>
    </row>
    <row r="43" customFormat="false" ht="15" hidden="false" customHeight="false" outlineLevel="0" collapsed="false">
      <c r="A43" s="5" t="s">
        <v>283</v>
      </c>
      <c r="B43" s="17" t="n">
        <v>7</v>
      </c>
      <c r="C43" s="29" t="n">
        <v>0.0032</v>
      </c>
      <c r="D43" s="29" t="n">
        <v>0.02</v>
      </c>
      <c r="E43" s="29" t="n">
        <v>0.0462</v>
      </c>
    </row>
    <row r="44" customFormat="false" ht="15" hidden="false" customHeight="false" outlineLevel="0" collapsed="false">
      <c r="A44" s="5" t="s">
        <v>279</v>
      </c>
      <c r="B44" s="17" t="n">
        <v>8</v>
      </c>
      <c r="C44" s="29" t="n">
        <v>0.1196</v>
      </c>
      <c r="D44" s="29" t="n">
        <v>0.1838</v>
      </c>
      <c r="E44" s="29" t="n">
        <v>0.2614</v>
      </c>
    </row>
    <row r="45" customFormat="false" ht="15" hidden="false" customHeight="false" outlineLevel="0" collapsed="false">
      <c r="A45" s="5" t="s">
        <v>255</v>
      </c>
      <c r="B45" s="17" t="n">
        <v>9</v>
      </c>
      <c r="C45" s="29" t="n">
        <v>0.0236</v>
      </c>
      <c r="D45" s="29" t="n">
        <v>0.0588</v>
      </c>
      <c r="E45" s="29" t="n">
        <v>0.0978</v>
      </c>
    </row>
    <row r="46" customFormat="false" ht="15" hidden="false" customHeight="false" outlineLevel="0" collapsed="false">
      <c r="A46" s="5" t="s">
        <v>253</v>
      </c>
      <c r="B46" s="17" t="n">
        <v>10</v>
      </c>
      <c r="C46" s="29" t="n">
        <v>0.2218</v>
      </c>
      <c r="D46" s="29" t="n">
        <v>0.3138</v>
      </c>
      <c r="E46" s="29" t="n">
        <v>0.368</v>
      </c>
    </row>
    <row r="47" customFormat="false" ht="15" hidden="false" customHeight="false" outlineLevel="0" collapsed="false">
      <c r="A47" s="5" t="s">
        <v>245</v>
      </c>
      <c r="B47" s="17" t="n">
        <v>11</v>
      </c>
      <c r="C47" s="29" t="n">
        <v>0.002</v>
      </c>
      <c r="D47" s="29" t="n">
        <v>0.007</v>
      </c>
      <c r="E47" s="29" t="n">
        <v>0.0244</v>
      </c>
    </row>
    <row r="48" customFormat="false" ht="15" hidden="false" customHeight="false" outlineLevel="0" collapsed="false">
      <c r="A48" s="5" t="s">
        <v>247</v>
      </c>
      <c r="B48" s="17" t="n">
        <v>12</v>
      </c>
      <c r="C48" s="29" t="n">
        <v>0.0008</v>
      </c>
      <c r="D48" s="29" t="n">
        <v>0.0118</v>
      </c>
      <c r="E48" s="29" t="n">
        <v>0.024</v>
      </c>
    </row>
    <row r="49" customFormat="false" ht="15" hidden="false" customHeight="false" outlineLevel="0" collapsed="false">
      <c r="A49" s="5" t="s">
        <v>257</v>
      </c>
      <c r="B49" s="17" t="n">
        <v>13</v>
      </c>
      <c r="C49" s="29" t="n">
        <v>0</v>
      </c>
      <c r="D49" s="29" t="n">
        <v>0.0006</v>
      </c>
      <c r="E49" s="29" t="n">
        <v>0.0058</v>
      </c>
    </row>
    <row r="50" customFormat="false" ht="15" hidden="false" customHeight="false" outlineLevel="0" collapsed="false">
      <c r="A50" s="5" t="s">
        <v>225</v>
      </c>
      <c r="B50" s="17" t="n">
        <v>14</v>
      </c>
      <c r="C50" s="29" t="n">
        <v>0.0098</v>
      </c>
      <c r="D50" s="29" t="n">
        <v>0.039</v>
      </c>
      <c r="E50" s="29" t="n">
        <v>0.0678</v>
      </c>
    </row>
    <row r="51" customFormat="false" ht="15" hidden="false" customHeight="false" outlineLevel="0" collapsed="false">
      <c r="A51" s="5" t="s">
        <v>275</v>
      </c>
      <c r="B51" s="17" t="n">
        <v>15</v>
      </c>
      <c r="C51" s="29" t="n">
        <v>0.0036</v>
      </c>
      <c r="D51" s="29" t="n">
        <v>0.0074</v>
      </c>
      <c r="E51" s="29" t="n">
        <v>0.0154</v>
      </c>
    </row>
    <row r="52" customFormat="false" ht="15" hidden="false" customHeight="false" outlineLevel="0" collapsed="false">
      <c r="A52" s="5" t="s">
        <v>263</v>
      </c>
      <c r="B52" s="17" t="n">
        <v>16</v>
      </c>
      <c r="C52" s="29" t="n">
        <v>0</v>
      </c>
      <c r="D52" s="29" t="n">
        <v>0.0106</v>
      </c>
      <c r="E52" s="29" t="n">
        <v>0.0312</v>
      </c>
    </row>
    <row r="53" customFormat="false" ht="15" hidden="false" customHeight="false" outlineLevel="0" collapsed="false">
      <c r="A53" s="5" t="s">
        <v>259</v>
      </c>
      <c r="B53" s="17" t="n">
        <v>17</v>
      </c>
      <c r="C53" s="29" t="n">
        <v>0</v>
      </c>
      <c r="D53" s="29" t="n">
        <v>0</v>
      </c>
      <c r="E53" s="29" t="n">
        <v>0</v>
      </c>
    </row>
    <row r="54" customFormat="false" ht="15" hidden="false" customHeight="false" outlineLevel="0" collapsed="false">
      <c r="A54" s="5" t="s">
        <v>273</v>
      </c>
      <c r="B54" s="17" t="n">
        <v>18</v>
      </c>
      <c r="C54" s="29" t="n">
        <v>0</v>
      </c>
      <c r="D54" s="29" t="n">
        <v>0.0016</v>
      </c>
      <c r="E54" s="29" t="n">
        <v>0.0146</v>
      </c>
    </row>
    <row r="55" customFormat="false" ht="15" hidden="false" customHeight="false" outlineLevel="0" collapsed="false">
      <c r="A55" s="5" t="s">
        <v>233</v>
      </c>
      <c r="B55" s="17" t="n">
        <v>19</v>
      </c>
      <c r="C55" s="29" t="n">
        <v>0.0054</v>
      </c>
      <c r="D55" s="29" t="n">
        <v>0.012</v>
      </c>
      <c r="E55" s="29" t="n">
        <v>0.0208</v>
      </c>
    </row>
    <row r="56" customFormat="false" ht="15" hidden="false" customHeight="false" outlineLevel="0" collapsed="false">
      <c r="A56" s="5" t="s">
        <v>269</v>
      </c>
      <c r="B56" s="17" t="n">
        <v>20</v>
      </c>
      <c r="C56" s="29" t="n">
        <v>0.0048</v>
      </c>
      <c r="D56" s="29" t="n">
        <v>0.013</v>
      </c>
      <c r="E56" s="29" t="n">
        <v>0.0406</v>
      </c>
    </row>
    <row r="57" customFormat="false" ht="15" hidden="false" customHeight="false" outlineLevel="0" collapsed="false">
      <c r="A57" s="5" t="s">
        <v>222</v>
      </c>
      <c r="B57" s="17" t="n">
        <v>21</v>
      </c>
      <c r="C57" s="29" t="n">
        <v>0</v>
      </c>
      <c r="D57" s="29" t="n">
        <v>0</v>
      </c>
      <c r="E57" s="29" t="n">
        <v>0</v>
      </c>
    </row>
    <row r="58" customFormat="false" ht="15" hidden="false" customHeight="false" outlineLevel="0" collapsed="false">
      <c r="A58" s="5" t="s">
        <v>227</v>
      </c>
      <c r="B58" s="17" t="n">
        <v>22</v>
      </c>
      <c r="C58" s="29" t="n">
        <v>0.0002</v>
      </c>
      <c r="D58" s="29" t="n">
        <v>0.0006</v>
      </c>
      <c r="E58" s="29" t="n">
        <v>0.003</v>
      </c>
    </row>
    <row r="59" customFormat="false" ht="15" hidden="false" customHeight="false" outlineLevel="0" collapsed="false">
      <c r="A59" s="5" t="s">
        <v>239</v>
      </c>
      <c r="B59" s="17" t="n">
        <v>23</v>
      </c>
      <c r="C59" s="29" t="n">
        <v>0</v>
      </c>
      <c r="D59" s="29" t="n">
        <v>0.0026</v>
      </c>
      <c r="E59" s="29" t="n">
        <v>0.0076</v>
      </c>
    </row>
    <row r="60" customFormat="false" ht="15" hidden="false" customHeight="false" outlineLevel="0" collapsed="false">
      <c r="A60" s="5" t="s">
        <v>285</v>
      </c>
      <c r="B60" s="17" t="n">
        <v>24</v>
      </c>
      <c r="C60" s="29" t="n">
        <v>0</v>
      </c>
      <c r="D60" s="29" t="n">
        <v>0</v>
      </c>
      <c r="E60" s="29" t="n">
        <v>0.004</v>
      </c>
    </row>
    <row r="61" customFormat="false" ht="15" hidden="false" customHeight="false" outlineLevel="0" collapsed="false">
      <c r="A61" s="5" t="s">
        <v>267</v>
      </c>
      <c r="B61" s="17" t="n">
        <v>25</v>
      </c>
      <c r="C61" s="29" t="n">
        <v>0.0016</v>
      </c>
      <c r="D61" s="29" t="n">
        <v>0.0036</v>
      </c>
      <c r="E61" s="29" t="n">
        <v>0.006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7A7A"/>
    <pageSetUpPr fitToPage="false"/>
  </sheetPr>
  <dimension ref="A1:E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62"/>
    <col collapsed="false" customWidth="true" hidden="false" outlineLevel="0" max="3" min="3" style="0" width="34"/>
    <col collapsed="false" customWidth="true" hidden="false" outlineLevel="0" max="5" min="4" style="0" width="60"/>
  </cols>
  <sheetData>
    <row r="1" customFormat="false" ht="17.35" hidden="false" customHeight="false" outlineLevel="0" collapsed="false">
      <c r="A1" s="1" t="s">
        <v>468</v>
      </c>
    </row>
    <row r="3" customFormat="false" ht="42" hidden="false" customHeight="true" outlineLevel="0" collapsed="false">
      <c r="A3" s="9" t="s">
        <v>469</v>
      </c>
      <c r="B3" s="9" t="s">
        <v>470</v>
      </c>
      <c r="C3" s="9" t="s">
        <v>471</v>
      </c>
      <c r="D3" s="9" t="s">
        <v>472</v>
      </c>
      <c r="E3" s="9" t="s">
        <v>473</v>
      </c>
    </row>
    <row r="4" customFormat="false" ht="23.85" hidden="false" customHeight="false" outlineLevel="0" collapsed="false">
      <c r="A4" s="6" t="s">
        <v>474</v>
      </c>
      <c r="B4" s="6" t="s">
        <v>475</v>
      </c>
      <c r="C4" s="6" t="s">
        <v>476</v>
      </c>
      <c r="D4" s="6" t="s">
        <v>477</v>
      </c>
      <c r="E4" s="6" t="s">
        <v>478</v>
      </c>
    </row>
    <row r="5" customFormat="false" ht="23.85" hidden="false" customHeight="false" outlineLevel="0" collapsed="false">
      <c r="A5" s="6" t="s">
        <v>479</v>
      </c>
      <c r="B5" s="6" t="s">
        <v>480</v>
      </c>
      <c r="C5" s="6" t="s">
        <v>481</v>
      </c>
      <c r="D5" s="6" t="s">
        <v>482</v>
      </c>
      <c r="E5" s="6" t="s">
        <v>483</v>
      </c>
    </row>
    <row r="6" customFormat="false" ht="23.85" hidden="false" customHeight="false" outlineLevel="0" collapsed="false">
      <c r="A6" s="6" t="s">
        <v>484</v>
      </c>
      <c r="B6" s="6" t="s">
        <v>485</v>
      </c>
      <c r="C6" s="6" t="s">
        <v>486</v>
      </c>
      <c r="D6" s="6" t="s">
        <v>487</v>
      </c>
      <c r="E6" s="6" t="s">
        <v>488</v>
      </c>
    </row>
    <row r="7" customFormat="false" ht="23.85" hidden="false" customHeight="false" outlineLevel="0" collapsed="false">
      <c r="A7" s="6" t="s">
        <v>178</v>
      </c>
      <c r="B7" s="6" t="s">
        <v>489</v>
      </c>
      <c r="C7" s="6" t="s">
        <v>490</v>
      </c>
      <c r="D7" s="6" t="s">
        <v>491</v>
      </c>
      <c r="E7" s="6" t="s">
        <v>492</v>
      </c>
    </row>
    <row r="8" customFormat="false" ht="23.85" hidden="false" customHeight="false" outlineLevel="0" collapsed="false">
      <c r="A8" s="6" t="s">
        <v>493</v>
      </c>
      <c r="B8" s="6" t="s">
        <v>494</v>
      </c>
      <c r="C8" s="6" t="s">
        <v>481</v>
      </c>
      <c r="D8" s="6" t="s">
        <v>495</v>
      </c>
      <c r="E8" s="6" t="s">
        <v>496</v>
      </c>
    </row>
    <row r="10" customFormat="false" ht="15" hidden="false" customHeight="false" outlineLevel="0" collapsed="false">
      <c r="A10" s="3" t="s">
        <v>497</v>
      </c>
      <c r="B10" s="51"/>
      <c r="C10" s="51"/>
      <c r="D10" s="51"/>
      <c r="E10" s="51"/>
    </row>
    <row r="11" customFormat="false" ht="43.5" hidden="false" customHeight="true" outlineLevel="0" collapsed="false">
      <c r="A11" s="7" t="s">
        <v>498</v>
      </c>
      <c r="B11" s="56" t="s">
        <v>499</v>
      </c>
      <c r="C11" s="56"/>
      <c r="D11" s="56"/>
      <c r="E11" s="56"/>
    </row>
    <row r="12" customFormat="false" ht="43.5" hidden="false" customHeight="true" outlineLevel="0" collapsed="false">
      <c r="A12" s="7" t="s">
        <v>500</v>
      </c>
      <c r="B12" s="56" t="s">
        <v>501</v>
      </c>
      <c r="C12" s="56"/>
      <c r="D12" s="56"/>
      <c r="E12" s="56"/>
    </row>
    <row r="13" customFormat="false" ht="43.5" hidden="false" customHeight="true" outlineLevel="0" collapsed="false">
      <c r="A13" s="7" t="s">
        <v>502</v>
      </c>
      <c r="B13" s="56" t="s">
        <v>503</v>
      </c>
      <c r="C13" s="56"/>
      <c r="D13" s="56"/>
      <c r="E13" s="56"/>
    </row>
    <row r="14" customFormat="false" ht="43.5" hidden="false" customHeight="true" outlineLevel="0" collapsed="false">
      <c r="A14" s="7" t="s">
        <v>504</v>
      </c>
      <c r="B14" s="56" t="s">
        <v>505</v>
      </c>
      <c r="C14" s="56"/>
      <c r="D14" s="56"/>
      <c r="E14" s="56"/>
    </row>
    <row r="15" customFormat="false" ht="43.5" hidden="false" customHeight="true" outlineLevel="0" collapsed="false">
      <c r="A15" s="7" t="s">
        <v>506</v>
      </c>
      <c r="B15" s="56" t="s">
        <v>507</v>
      </c>
      <c r="C15" s="56"/>
      <c r="D15" s="56"/>
      <c r="E15" s="56"/>
    </row>
    <row r="16" customFormat="false" ht="43.5" hidden="false" customHeight="true" outlineLevel="0" collapsed="false">
      <c r="A16" s="7" t="s">
        <v>508</v>
      </c>
      <c r="B16" s="56" t="s">
        <v>509</v>
      </c>
      <c r="C16" s="56"/>
      <c r="D16" s="56"/>
      <c r="E16" s="56"/>
    </row>
    <row r="17" customFormat="false" ht="43.5" hidden="false" customHeight="true" outlineLevel="0" collapsed="false">
      <c r="A17" s="7" t="s">
        <v>510</v>
      </c>
      <c r="B17" s="56" t="s">
        <v>511</v>
      </c>
      <c r="C17" s="56"/>
      <c r="D17" s="56"/>
      <c r="E17" s="56"/>
    </row>
    <row r="18" customFormat="false" ht="43.5" hidden="false" customHeight="true" outlineLevel="0" collapsed="false">
      <c r="A18" s="7" t="s">
        <v>512</v>
      </c>
      <c r="B18" s="56" t="s">
        <v>513</v>
      </c>
      <c r="C18" s="56"/>
      <c r="D18" s="56"/>
      <c r="E18" s="56"/>
    </row>
    <row r="19" customFormat="false" ht="43.5" hidden="false" customHeight="true" outlineLevel="0" collapsed="false">
      <c r="A19" s="7" t="s">
        <v>514</v>
      </c>
      <c r="B19" s="56" t="s">
        <v>515</v>
      </c>
      <c r="C19" s="56"/>
      <c r="D19" s="56"/>
      <c r="E19" s="56"/>
    </row>
    <row r="20" customFormat="false" ht="43.5" hidden="false" customHeight="true" outlineLevel="0" collapsed="false">
      <c r="A20" s="7" t="s">
        <v>516</v>
      </c>
      <c r="B20" s="56" t="s">
        <v>517</v>
      </c>
      <c r="C20" s="56"/>
      <c r="D20" s="56"/>
      <c r="E20" s="56"/>
    </row>
  </sheetData>
  <mergeCells count="10">
    <mergeCell ref="B11:E11"/>
    <mergeCell ref="B12:E12"/>
    <mergeCell ref="B13:E13"/>
    <mergeCell ref="B14:E14"/>
    <mergeCell ref="B15:E15"/>
    <mergeCell ref="B16:E16"/>
    <mergeCell ref="B17:E17"/>
    <mergeCell ref="B18:E18"/>
    <mergeCell ref="B19:E19"/>
    <mergeCell ref="B20:E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7A7A"/>
    <pageSetUpPr fitToPage="false"/>
  </sheetPr>
  <dimension ref="A1:AC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7"/>
    <col collapsed="false" customWidth="true" hidden="false" outlineLevel="0" max="29" min="3" style="0" width="13"/>
  </cols>
  <sheetData>
    <row r="1" customFormat="false" ht="17.35" hidden="false" customHeight="false" outlineLevel="0" collapsed="false">
      <c r="A1" s="1" t="s">
        <v>518</v>
      </c>
    </row>
    <row r="2" customFormat="false" ht="15" hidden="false" customHeight="false" outlineLevel="0" collapsed="false">
      <c r="A2" s="2" t="s">
        <v>519</v>
      </c>
    </row>
    <row r="5" customFormat="false" ht="42" hidden="false" customHeight="true" outlineLevel="0" collapsed="false">
      <c r="A5" s="9" t="s">
        <v>189</v>
      </c>
      <c r="B5" s="9" t="s">
        <v>37</v>
      </c>
      <c r="C5" s="9" t="s">
        <v>215</v>
      </c>
      <c r="D5" s="9" t="s">
        <v>43</v>
      </c>
      <c r="E5" s="9" t="s">
        <v>312</v>
      </c>
      <c r="F5" s="9" t="s">
        <v>318</v>
      </c>
      <c r="G5" s="9" t="s">
        <v>520</v>
      </c>
      <c r="H5" s="9" t="s">
        <v>521</v>
      </c>
      <c r="I5" s="9" t="s">
        <v>522</v>
      </c>
      <c r="J5" s="9" t="s">
        <v>35</v>
      </c>
      <c r="K5" s="9" t="s">
        <v>46</v>
      </c>
      <c r="L5" s="9" t="s">
        <v>365</v>
      </c>
      <c r="M5" s="9" t="s">
        <v>366</v>
      </c>
      <c r="N5" s="9" t="s">
        <v>367</v>
      </c>
      <c r="O5" s="9" t="s">
        <v>368</v>
      </c>
      <c r="P5" s="9" t="s">
        <v>523</v>
      </c>
      <c r="Q5" s="9" t="s">
        <v>524</v>
      </c>
      <c r="R5" s="9" t="s">
        <v>525</v>
      </c>
      <c r="S5" s="9" t="s">
        <v>526</v>
      </c>
      <c r="T5" s="9" t="s">
        <v>527</v>
      </c>
      <c r="U5" s="9"/>
      <c r="V5" s="9" t="s">
        <v>528</v>
      </c>
      <c r="W5" s="9" t="s">
        <v>529</v>
      </c>
      <c r="X5" s="9" t="s">
        <v>530</v>
      </c>
      <c r="Y5" s="9" t="s">
        <v>531</v>
      </c>
      <c r="Z5" s="9" t="s">
        <v>532</v>
      </c>
      <c r="AA5" s="9" t="s">
        <v>533</v>
      </c>
      <c r="AB5" s="9" t="s">
        <v>534</v>
      </c>
      <c r="AC5" s="9" t="s">
        <v>535</v>
      </c>
    </row>
    <row r="6" customFormat="false" ht="15" hidden="false" customHeight="false" outlineLevel="0" collapsed="false">
      <c r="A6" s="55" t="s">
        <v>216</v>
      </c>
      <c r="B6" s="55" t="s">
        <v>217</v>
      </c>
      <c r="C6" s="17" t="n">
        <v>1</v>
      </c>
      <c r="D6" s="20" t="n">
        <v>0.704027952866859</v>
      </c>
      <c r="E6" s="28" t="n">
        <v>129.377089399958</v>
      </c>
      <c r="F6" s="28" t="n">
        <v>9.5111853296423</v>
      </c>
      <c r="G6" s="23" t="n">
        <v>43.3711895096053</v>
      </c>
      <c r="H6" s="23" t="n">
        <v>71.0330087969784</v>
      </c>
      <c r="I6" s="23" t="n">
        <v>55.5048293932268</v>
      </c>
      <c r="J6" s="17" t="n">
        <v>5</v>
      </c>
      <c r="K6" s="20" t="n">
        <v>0.123757242958631</v>
      </c>
      <c r="L6" s="28" t="n">
        <v>-66.5075082206606</v>
      </c>
      <c r="M6" s="28" t="n">
        <v>-40.6568997130259</v>
      </c>
      <c r="N6" s="28" t="n">
        <v>2.47868142654538</v>
      </c>
      <c r="O6" s="28" t="n">
        <v>-36.3356565550418</v>
      </c>
      <c r="P6" s="28" t="n">
        <v>50.2977524048916</v>
      </c>
      <c r="Q6" s="23" t="n">
        <v>2.26289182523432</v>
      </c>
      <c r="R6" s="20" t="n">
        <v>0.007</v>
      </c>
      <c r="S6" s="20" t="n">
        <v>0.0272</v>
      </c>
      <c r="T6" s="20" t="n">
        <v>0.0746</v>
      </c>
      <c r="V6" s="50" t="n">
        <f aca="false">ABS(Forecast!J6-D6)</f>
        <v>0</v>
      </c>
      <c r="W6" s="50" t="n">
        <f aca="false">ABS(Pools!L6-E6)</f>
        <v>0</v>
      </c>
      <c r="X6" s="50" t="n">
        <f aca="false">ABS(Pools!R6-F6)</f>
        <v>0</v>
      </c>
      <c r="Y6" s="50" t="n">
        <f aca="false">IF(C6=1,ABS(Scorecard!AC6-G6),0)</f>
        <v>0</v>
      </c>
      <c r="Z6" s="50" t="n">
        <f aca="false">IF(C6=1,ABS(Scorecard!AQ6-H6),0)</f>
        <v>0</v>
      </c>
      <c r="AA6" s="50" t="n">
        <f aca="false">IF(C6=1,ABS(Scorecard!AR6-I6),0)</f>
        <v>0</v>
      </c>
      <c r="AB6" s="50" t="n">
        <f aca="false">IF(C6=1,ABS(Scorecard!AS6-J6),0)</f>
        <v>0</v>
      </c>
      <c r="AC6" s="50" t="n">
        <f aca="false">IF(C6=1,ABS(Scorecard!AT6-K6),0)</f>
        <v>0</v>
      </c>
    </row>
    <row r="7" customFormat="false" ht="15" hidden="false" customHeight="false" outlineLevel="0" collapsed="false">
      <c r="A7" s="55" t="s">
        <v>219</v>
      </c>
      <c r="B7" s="55" t="s">
        <v>220</v>
      </c>
      <c r="C7" s="17" t="n">
        <v>0</v>
      </c>
      <c r="D7" s="20" t="n">
        <v>0.757146355510493</v>
      </c>
      <c r="E7" s="28" t="n">
        <v>39.4194868065731</v>
      </c>
      <c r="F7" s="28" t="n">
        <v>2.68805460622781</v>
      </c>
      <c r="V7" s="50" t="n">
        <f aca="false">ABS(Forecast!J7-D7)</f>
        <v>0</v>
      </c>
      <c r="W7" s="50" t="n">
        <f aca="false">ABS(Pools!L7-E7)</f>
        <v>0</v>
      </c>
      <c r="X7" s="50" t="n">
        <f aca="false">ABS(Pools!R7-F7)</f>
        <v>0</v>
      </c>
      <c r="Y7" s="50" t="n">
        <f aca="false">IF(C7=1,ABS(Scorecard!AC7-G7),0)</f>
        <v>0</v>
      </c>
      <c r="Z7" s="50" t="n">
        <f aca="false">IF(C7=1,ABS(Scorecard!AQ7-H7),0)</f>
        <v>0</v>
      </c>
      <c r="AA7" s="50" t="n">
        <f aca="false">IF(C7=1,ABS(Scorecard!AR7-I7),0)</f>
        <v>0</v>
      </c>
      <c r="AB7" s="50" t="n">
        <f aca="false">IF(C7=1,ABS(Scorecard!AS7-J7),0)</f>
        <v>0</v>
      </c>
      <c r="AC7" s="50" t="n">
        <f aca="false">IF(C7=1,ABS(Scorecard!AT7-K7),0)</f>
        <v>0</v>
      </c>
    </row>
    <row r="8" customFormat="false" ht="15" hidden="false" customHeight="false" outlineLevel="0" collapsed="false">
      <c r="A8" s="55" t="s">
        <v>222</v>
      </c>
      <c r="B8" s="55" t="s">
        <v>223</v>
      </c>
      <c r="C8" s="17" t="n">
        <v>1</v>
      </c>
      <c r="D8" s="20" t="n">
        <v>0.69795622299143</v>
      </c>
      <c r="E8" s="28" t="n">
        <v>174.908156956075</v>
      </c>
      <c r="F8" s="28" t="n">
        <v>12.9571961347854</v>
      </c>
      <c r="G8" s="23" t="n">
        <v>46.8360397673499</v>
      </c>
      <c r="H8" s="23" t="n">
        <v>38.7599297014298</v>
      </c>
      <c r="I8" s="23" t="n">
        <v>42.6070605519303</v>
      </c>
      <c r="J8" s="17" t="n">
        <v>21</v>
      </c>
      <c r="K8" s="20" t="n">
        <v>0.172259205628456</v>
      </c>
      <c r="L8" s="28" t="n">
        <v>-67.9097519178218</v>
      </c>
      <c r="M8" s="28" t="n">
        <v>-42.0628548842764</v>
      </c>
      <c r="N8" s="28" t="n">
        <v>1.90524180353588</v>
      </c>
      <c r="O8" s="28" t="n">
        <v>-37.5325549707097</v>
      </c>
      <c r="P8" s="28" t="n">
        <v>55.6828412278612</v>
      </c>
      <c r="Q8" s="23" t="n">
        <v>2.31231861090229</v>
      </c>
      <c r="R8" s="20" t="n">
        <v>0</v>
      </c>
      <c r="S8" s="20" t="n">
        <v>0</v>
      </c>
      <c r="T8" s="20" t="n">
        <v>0</v>
      </c>
      <c r="V8" s="50" t="n">
        <f aca="false">ABS(Forecast!J8-D8)</f>
        <v>0</v>
      </c>
      <c r="W8" s="50" t="n">
        <f aca="false">ABS(Pools!L8-E8)</f>
        <v>0</v>
      </c>
      <c r="X8" s="50" t="n">
        <f aca="false">ABS(Pools!R8-F8)</f>
        <v>0</v>
      </c>
      <c r="Y8" s="50" t="n">
        <f aca="false">IF(C8=1,ABS(Scorecard!AC8-G8),0)</f>
        <v>0</v>
      </c>
      <c r="Z8" s="50" t="n">
        <f aca="false">IF(C8=1,ABS(Scorecard!AQ8-H8),0)</f>
        <v>0</v>
      </c>
      <c r="AA8" s="50" t="n">
        <f aca="false">IF(C8=1,ABS(Scorecard!AR8-I8),0)</f>
        <v>0</v>
      </c>
      <c r="AB8" s="50" t="n">
        <f aca="false">IF(C8=1,ABS(Scorecard!AS8-J8),0)</f>
        <v>0</v>
      </c>
      <c r="AC8" s="50" t="n">
        <f aca="false">IF(C8=1,ABS(Scorecard!AT8-K8),0)</f>
        <v>0</v>
      </c>
    </row>
    <row r="9" customFormat="false" ht="15" hidden="false" customHeight="false" outlineLevel="0" collapsed="false">
      <c r="A9" s="55" t="s">
        <v>225</v>
      </c>
      <c r="B9" s="55" t="s">
        <v>226</v>
      </c>
      <c r="C9" s="17" t="n">
        <v>1</v>
      </c>
      <c r="D9" s="20" t="n">
        <v>0.781713167119392</v>
      </c>
      <c r="E9" s="28" t="n">
        <v>330.660892855861</v>
      </c>
      <c r="F9" s="28" t="n">
        <v>21.6482298313175</v>
      </c>
      <c r="G9" s="23" t="n">
        <v>48.1774787132868</v>
      </c>
      <c r="H9" s="23" t="n">
        <v>51.9235561410235</v>
      </c>
      <c r="I9" s="23" t="n">
        <v>50.0154578175819</v>
      </c>
      <c r="J9" s="17" t="n">
        <v>14</v>
      </c>
      <c r="K9" s="20" t="n">
        <v>0.171391033537676</v>
      </c>
      <c r="L9" s="28" t="n">
        <v>-69.9154331504701</v>
      </c>
      <c r="M9" s="28" t="n">
        <v>-28.0420879950701</v>
      </c>
      <c r="N9" s="28" t="n">
        <v>37.0501035821393</v>
      </c>
      <c r="O9" s="28" t="n">
        <v>-22.2373763896177</v>
      </c>
      <c r="P9" s="28" t="n">
        <v>45.3399536852051</v>
      </c>
      <c r="Q9" s="23" t="n">
        <v>1.52789463273215</v>
      </c>
      <c r="R9" s="20" t="n">
        <v>0.0098</v>
      </c>
      <c r="S9" s="20" t="n">
        <v>0.039</v>
      </c>
      <c r="T9" s="20" t="n">
        <v>0.0678</v>
      </c>
      <c r="V9" s="50" t="n">
        <f aca="false">ABS(Forecast!J9-D9)</f>
        <v>0</v>
      </c>
      <c r="W9" s="50" t="n">
        <f aca="false">ABS(Pools!L9-E9)</f>
        <v>0</v>
      </c>
      <c r="X9" s="50" t="n">
        <f aca="false">ABS(Pools!R9-F9)</f>
        <v>0</v>
      </c>
      <c r="Y9" s="50" t="n">
        <f aca="false">IF(C9=1,ABS(Scorecard!AC9-G9),0)</f>
        <v>0</v>
      </c>
      <c r="Z9" s="50" t="n">
        <f aca="false">IF(C9=1,ABS(Scorecard!AQ9-H9),0)</f>
        <v>0</v>
      </c>
      <c r="AA9" s="50" t="n">
        <f aca="false">IF(C9=1,ABS(Scorecard!AR9-I9),0)</f>
        <v>0</v>
      </c>
      <c r="AB9" s="50" t="n">
        <f aca="false">IF(C9=1,ABS(Scorecard!AS9-J9),0)</f>
        <v>0</v>
      </c>
      <c r="AC9" s="50" t="n">
        <f aca="false">IF(C9=1,ABS(Scorecard!AT9-K9),0)</f>
        <v>0</v>
      </c>
    </row>
    <row r="10" customFormat="false" ht="15" hidden="false" customHeight="false" outlineLevel="0" collapsed="false">
      <c r="A10" s="55" t="s">
        <v>227</v>
      </c>
      <c r="B10" s="55" t="s">
        <v>228</v>
      </c>
      <c r="C10" s="17" t="n">
        <v>1</v>
      </c>
      <c r="D10" s="20" t="n">
        <v>0.310192779837814</v>
      </c>
      <c r="E10" s="28" t="n">
        <v>51.5570079685938</v>
      </c>
      <c r="F10" s="28" t="n">
        <v>5.07368729078018</v>
      </c>
      <c r="G10" s="23" t="n">
        <v>44.9529034570795</v>
      </c>
      <c r="H10" s="23" t="n">
        <v>35.6261080811741</v>
      </c>
      <c r="I10" s="23" t="n">
        <v>40.0187080891488</v>
      </c>
      <c r="J10" s="17" t="n">
        <v>22</v>
      </c>
      <c r="K10" s="20" t="n">
        <v>0.154642621936418</v>
      </c>
      <c r="L10" s="28" t="n">
        <v>-68.6801040329487</v>
      </c>
      <c r="M10" s="28" t="n">
        <v>-52.9765231532741</v>
      </c>
      <c r="N10" s="28" t="n">
        <v>-15.7784002603111</v>
      </c>
      <c r="O10" s="28" t="n">
        <v>-47.602887649952</v>
      </c>
      <c r="P10" s="28" t="n">
        <v>72.8890321933601</v>
      </c>
      <c r="Q10" s="23" t="n">
        <v>3.92023153526113</v>
      </c>
      <c r="R10" s="20" t="n">
        <v>0.0002</v>
      </c>
      <c r="S10" s="20" t="n">
        <v>0.0006</v>
      </c>
      <c r="T10" s="20" t="n">
        <v>0.003</v>
      </c>
      <c r="V10" s="50" t="n">
        <f aca="false">ABS(Forecast!J10-D10)</f>
        <v>0</v>
      </c>
      <c r="W10" s="50" t="n">
        <f aca="false">ABS(Pools!L10-E10)</f>
        <v>0</v>
      </c>
      <c r="X10" s="50" t="n">
        <f aca="false">ABS(Pools!R10-F10)</f>
        <v>0</v>
      </c>
      <c r="Y10" s="50" t="n">
        <f aca="false">IF(C10=1,ABS(Scorecard!AC10-G10),0)</f>
        <v>0</v>
      </c>
      <c r="Z10" s="50" t="n">
        <f aca="false">IF(C10=1,ABS(Scorecard!AQ10-H10),0)</f>
        <v>0</v>
      </c>
      <c r="AA10" s="50" t="n">
        <f aca="false">IF(C10=1,ABS(Scorecard!AR10-I10),0)</f>
        <v>0</v>
      </c>
      <c r="AB10" s="50" t="n">
        <f aca="false">IF(C10=1,ABS(Scorecard!AS10-J10),0)</f>
        <v>0</v>
      </c>
      <c r="AC10" s="50" t="n">
        <f aca="false">IF(C10=1,ABS(Scorecard!AT10-K10),0)</f>
        <v>0</v>
      </c>
    </row>
    <row r="11" customFormat="false" ht="15" hidden="false" customHeight="false" outlineLevel="0" collapsed="false">
      <c r="A11" s="55" t="s">
        <v>229</v>
      </c>
      <c r="B11" s="55" t="s">
        <v>230</v>
      </c>
      <c r="C11" s="17" t="n">
        <v>0</v>
      </c>
      <c r="D11" s="20" t="n">
        <v>0.324063472395796</v>
      </c>
      <c r="E11" s="28" t="n">
        <v>1.29526844615486</v>
      </c>
      <c r="F11" s="28" t="n">
        <v>0.126691521778773</v>
      </c>
      <c r="V11" s="50" t="n">
        <f aca="false">ABS(Forecast!J11-D11)</f>
        <v>0</v>
      </c>
      <c r="W11" s="50" t="n">
        <f aca="false">ABS(Pools!L11-E11)</f>
        <v>0</v>
      </c>
      <c r="X11" s="50" t="n">
        <f aca="false">ABS(Pools!R11-F11)</f>
        <v>0</v>
      </c>
      <c r="Y11" s="50" t="n">
        <f aca="false">IF(C11=1,ABS(Scorecard!AC11-G11),0)</f>
        <v>0</v>
      </c>
      <c r="Z11" s="50" t="n">
        <f aca="false">IF(C11=1,ABS(Scorecard!AQ11-H11),0)</f>
        <v>0</v>
      </c>
      <c r="AA11" s="50" t="n">
        <f aca="false">IF(C11=1,ABS(Scorecard!AR11-I11),0)</f>
        <v>0</v>
      </c>
      <c r="AB11" s="50" t="n">
        <f aca="false">IF(C11=1,ABS(Scorecard!AS11-J11),0)</f>
        <v>0</v>
      </c>
      <c r="AC11" s="50" t="n">
        <f aca="false">IF(C11=1,ABS(Scorecard!AT11-K11),0)</f>
        <v>0</v>
      </c>
    </row>
    <row r="12" customFormat="false" ht="15" hidden="false" customHeight="false" outlineLevel="0" collapsed="false">
      <c r="A12" s="55" t="s">
        <v>231</v>
      </c>
      <c r="B12" s="55" t="s">
        <v>232</v>
      </c>
      <c r="C12" s="17" t="n">
        <v>1</v>
      </c>
      <c r="D12" s="20" t="n">
        <v>0.61266217396715</v>
      </c>
      <c r="E12" s="28" t="n">
        <v>620.391745737345</v>
      </c>
      <c r="F12" s="28" t="n">
        <v>50.385197720014</v>
      </c>
      <c r="G12" s="23" t="n">
        <v>63.7863519879936</v>
      </c>
      <c r="H12" s="23" t="n">
        <v>56.9458090827218</v>
      </c>
      <c r="I12" s="23" t="n">
        <v>60.2691083590224</v>
      </c>
      <c r="J12" s="17" t="n">
        <v>4</v>
      </c>
      <c r="K12" s="20" t="n">
        <v>0.164660246144535</v>
      </c>
      <c r="L12" s="28" t="n">
        <v>-111.570887008399</v>
      </c>
      <c r="M12" s="28" t="n">
        <v>2.18134775089046</v>
      </c>
      <c r="N12" s="28" t="n">
        <v>208.783128376165</v>
      </c>
      <c r="O12" s="28" t="n">
        <v>25.3937342173868</v>
      </c>
      <c r="P12" s="28" t="n">
        <v>69.5376566639367</v>
      </c>
      <c r="Q12" s="23" t="n">
        <v>0.984244688848904</v>
      </c>
      <c r="R12" s="20" t="n">
        <v>0.2464</v>
      </c>
      <c r="S12" s="20" t="n">
        <v>0.3954</v>
      </c>
      <c r="T12" s="20" t="n">
        <v>0.5014</v>
      </c>
      <c r="V12" s="50" t="n">
        <f aca="false">ABS(Forecast!J12-D12)</f>
        <v>0</v>
      </c>
      <c r="W12" s="50" t="n">
        <f aca="false">ABS(Pools!L12-E12)</f>
        <v>0</v>
      </c>
      <c r="X12" s="50" t="n">
        <f aca="false">ABS(Pools!R12-F12)</f>
        <v>0</v>
      </c>
      <c r="Y12" s="50" t="n">
        <f aca="false">IF(C12=1,ABS(Scorecard!AC12-G12),0)</f>
        <v>0</v>
      </c>
      <c r="Z12" s="50" t="n">
        <f aca="false">IF(C12=1,ABS(Scorecard!AQ12-H12),0)</f>
        <v>0</v>
      </c>
      <c r="AA12" s="50" t="n">
        <f aca="false">IF(C12=1,ABS(Scorecard!AR12-I12),0)</f>
        <v>0</v>
      </c>
      <c r="AB12" s="50" t="n">
        <f aca="false">IF(C12=1,ABS(Scorecard!AS12-J12),0)</f>
        <v>0</v>
      </c>
      <c r="AC12" s="50" t="n">
        <f aca="false">IF(C12=1,ABS(Scorecard!AT12-K12),0)</f>
        <v>0</v>
      </c>
    </row>
    <row r="13" customFormat="false" ht="15" hidden="false" customHeight="false" outlineLevel="0" collapsed="false">
      <c r="A13" s="55" t="s">
        <v>233</v>
      </c>
      <c r="B13" s="55" t="s">
        <v>234</v>
      </c>
      <c r="C13" s="17" t="n">
        <v>1</v>
      </c>
      <c r="D13" s="20" t="n">
        <v>0.756957100835674</v>
      </c>
      <c r="E13" s="28" t="n">
        <v>77.6356063134308</v>
      </c>
      <c r="F13" s="28" t="n">
        <v>5.29562522029957</v>
      </c>
      <c r="G13" s="23" t="n">
        <v>36.9476652873485</v>
      </c>
      <c r="H13" s="23" t="n">
        <v>59.2939131884125</v>
      </c>
      <c r="I13" s="23" t="n">
        <v>46.805679762851</v>
      </c>
      <c r="J13" s="17" t="n">
        <v>19</v>
      </c>
      <c r="K13" s="20" t="n">
        <v>0.157819910680324</v>
      </c>
      <c r="L13" s="28" t="n">
        <v>-52.0845401184274</v>
      </c>
      <c r="M13" s="28" t="n">
        <v>-40.7952281746939</v>
      </c>
      <c r="N13" s="28" t="n">
        <v>-22.858536072148</v>
      </c>
      <c r="O13" s="28" t="n">
        <v>-39.1333831349908</v>
      </c>
      <c r="P13" s="28" t="n">
        <v>55.1195434680059</v>
      </c>
      <c r="Q13" s="23" t="n">
        <v>3.86218851501538</v>
      </c>
      <c r="R13" s="20" t="n">
        <v>0.0054</v>
      </c>
      <c r="S13" s="20" t="n">
        <v>0.012</v>
      </c>
      <c r="T13" s="20" t="n">
        <v>0.0208</v>
      </c>
      <c r="V13" s="50" t="n">
        <f aca="false">ABS(Forecast!J13-D13)</f>
        <v>0</v>
      </c>
      <c r="W13" s="50" t="n">
        <f aca="false">ABS(Pools!L13-E13)</f>
        <v>0</v>
      </c>
      <c r="X13" s="50" t="n">
        <f aca="false">ABS(Pools!R13-F13)</f>
        <v>0</v>
      </c>
      <c r="Y13" s="50" t="n">
        <f aca="false">IF(C13=1,ABS(Scorecard!AC13-G13),0)</f>
        <v>0</v>
      </c>
      <c r="Z13" s="50" t="n">
        <f aca="false">IF(C13=1,ABS(Scorecard!AQ13-H13),0)</f>
        <v>0</v>
      </c>
      <c r="AA13" s="50" t="n">
        <f aca="false">IF(C13=1,ABS(Scorecard!AR13-I13),0)</f>
        <v>0</v>
      </c>
      <c r="AB13" s="50" t="n">
        <f aca="false">IF(C13=1,ABS(Scorecard!AS13-J13),0)</f>
        <v>0</v>
      </c>
      <c r="AC13" s="50" t="n">
        <f aca="false">IF(C13=1,ABS(Scorecard!AT13-K13),0)</f>
        <v>0</v>
      </c>
    </row>
    <row r="14" customFormat="false" ht="15" hidden="false" customHeight="false" outlineLevel="0" collapsed="false">
      <c r="A14" s="55" t="s">
        <v>235</v>
      </c>
      <c r="B14" s="55" t="s">
        <v>236</v>
      </c>
      <c r="C14" s="17" t="n">
        <v>1</v>
      </c>
      <c r="D14" s="20" t="n">
        <v>0.769916601971442</v>
      </c>
      <c r="E14" s="28" t="n">
        <v>408.814803487415</v>
      </c>
      <c r="F14" s="28" t="n">
        <v>27.308258998882</v>
      </c>
      <c r="G14" s="23" t="n">
        <v>51.3841967250728</v>
      </c>
      <c r="H14" s="23" t="n">
        <v>71.5472405816844</v>
      </c>
      <c r="I14" s="23" t="n">
        <v>60.6333034328939</v>
      </c>
      <c r="J14" s="17" t="n">
        <v>2</v>
      </c>
      <c r="K14" s="20" t="n">
        <v>0.125339934546042</v>
      </c>
      <c r="L14" s="28" t="n">
        <v>-80.8901263111822</v>
      </c>
      <c r="M14" s="28" t="n">
        <v>-10.323052514166</v>
      </c>
      <c r="N14" s="28" t="n">
        <v>99.3018358736013</v>
      </c>
      <c r="O14" s="28" t="n">
        <v>-0.558598866478249</v>
      </c>
      <c r="P14" s="28" t="n">
        <v>43.5867819398841</v>
      </c>
      <c r="Q14" s="23" t="n">
        <v>1.11538934367895</v>
      </c>
      <c r="R14" s="20" t="n">
        <v>0.0256</v>
      </c>
      <c r="S14" s="20" t="n">
        <v>0.1242</v>
      </c>
      <c r="T14" s="20" t="n">
        <v>0.2506</v>
      </c>
      <c r="V14" s="50" t="n">
        <f aca="false">ABS(Forecast!J14-D14)</f>
        <v>0</v>
      </c>
      <c r="W14" s="50" t="n">
        <f aca="false">ABS(Pools!L14-E14)</f>
        <v>0</v>
      </c>
      <c r="X14" s="50" t="n">
        <f aca="false">ABS(Pools!R14-F14)</f>
        <v>0</v>
      </c>
      <c r="Y14" s="50" t="n">
        <f aca="false">IF(C14=1,ABS(Scorecard!AC14-G14),0)</f>
        <v>0</v>
      </c>
      <c r="Z14" s="50" t="n">
        <f aca="false">IF(C14=1,ABS(Scorecard!AQ14-H14),0)</f>
        <v>0</v>
      </c>
      <c r="AA14" s="50" t="n">
        <f aca="false">IF(C14=1,ABS(Scorecard!AR14-I14),0)</f>
        <v>0</v>
      </c>
      <c r="AB14" s="50" t="n">
        <f aca="false">IF(C14=1,ABS(Scorecard!AS14-J14),0)</f>
        <v>0</v>
      </c>
      <c r="AC14" s="50" t="n">
        <f aca="false">IF(C14=1,ABS(Scorecard!AT14-K14),0)</f>
        <v>0</v>
      </c>
    </row>
    <row r="15" customFormat="false" ht="15" hidden="false" customHeight="false" outlineLevel="0" collapsed="false">
      <c r="A15" s="55" t="s">
        <v>237</v>
      </c>
      <c r="B15" s="55" t="s">
        <v>238</v>
      </c>
      <c r="C15" s="17" t="n">
        <v>0</v>
      </c>
      <c r="D15" s="20" t="n">
        <v>0.74812543086899</v>
      </c>
      <c r="E15" s="28" t="n">
        <v>15.7990121407957</v>
      </c>
      <c r="F15" s="28" t="n">
        <v>1.09245185115987</v>
      </c>
      <c r="V15" s="50" t="n">
        <f aca="false">ABS(Forecast!J15-D15)</f>
        <v>0</v>
      </c>
      <c r="W15" s="50" t="n">
        <f aca="false">ABS(Pools!L15-E15)</f>
        <v>0</v>
      </c>
      <c r="X15" s="50" t="n">
        <f aca="false">ABS(Pools!R15-F15)</f>
        <v>0</v>
      </c>
      <c r="Y15" s="50" t="n">
        <f aca="false">IF(C15=1,ABS(Scorecard!AC15-G15),0)</f>
        <v>0</v>
      </c>
      <c r="Z15" s="50" t="n">
        <f aca="false">IF(C15=1,ABS(Scorecard!AQ15-H15),0)</f>
        <v>0</v>
      </c>
      <c r="AA15" s="50" t="n">
        <f aca="false">IF(C15=1,ABS(Scorecard!AR15-I15),0)</f>
        <v>0</v>
      </c>
      <c r="AB15" s="50" t="n">
        <f aca="false">IF(C15=1,ABS(Scorecard!AS15-J15),0)</f>
        <v>0</v>
      </c>
      <c r="AC15" s="50" t="n">
        <f aca="false">IF(C15=1,ABS(Scorecard!AT15-K15),0)</f>
        <v>0</v>
      </c>
    </row>
    <row r="16" customFormat="false" ht="15" hidden="false" customHeight="false" outlineLevel="0" collapsed="false">
      <c r="A16" s="55" t="s">
        <v>239</v>
      </c>
      <c r="B16" s="55" t="s">
        <v>240</v>
      </c>
      <c r="C16" s="17" t="n">
        <v>1</v>
      </c>
      <c r="D16" s="20" t="n">
        <v>0.233804191442453</v>
      </c>
      <c r="E16" s="28" t="n">
        <v>103.899102155023</v>
      </c>
      <c r="F16" s="28" t="n">
        <v>10.542930678278</v>
      </c>
      <c r="G16" s="23" t="n">
        <v>58.1262833304837</v>
      </c>
      <c r="H16" s="23" t="n">
        <v>26.9199816709826</v>
      </c>
      <c r="I16" s="23" t="n">
        <v>39.5570282233001</v>
      </c>
      <c r="J16" s="17" t="n">
        <v>23</v>
      </c>
      <c r="K16" s="20" t="n">
        <v>0.179339659223124</v>
      </c>
      <c r="L16" s="28" t="n">
        <v>-144.386431183533</v>
      </c>
      <c r="M16" s="28" t="n">
        <v>-121.347916182523</v>
      </c>
      <c r="N16" s="28" t="n">
        <v>-57.2725808234961</v>
      </c>
      <c r="O16" s="28" t="n">
        <v>-111.088711093019</v>
      </c>
      <c r="P16" s="28" t="n">
        <v>178.816357292919</v>
      </c>
      <c r="Q16" s="23" t="n">
        <v>5.70809416291114</v>
      </c>
      <c r="R16" s="20" t="n">
        <v>0</v>
      </c>
      <c r="S16" s="20" t="n">
        <v>0.0026</v>
      </c>
      <c r="T16" s="20" t="n">
        <v>0.0076</v>
      </c>
      <c r="V16" s="50" t="n">
        <f aca="false">ABS(Forecast!J16-D16)</f>
        <v>0</v>
      </c>
      <c r="W16" s="50" t="n">
        <f aca="false">ABS(Pools!L16-E16)</f>
        <v>0</v>
      </c>
      <c r="X16" s="50" t="n">
        <f aca="false">ABS(Pools!R16-F16)</f>
        <v>0</v>
      </c>
      <c r="Y16" s="50" t="n">
        <f aca="false">IF(C16=1,ABS(Scorecard!AC16-G16),0)</f>
        <v>0</v>
      </c>
      <c r="Z16" s="50" t="n">
        <f aca="false">IF(C16=1,ABS(Scorecard!AQ16-H16),0)</f>
        <v>0</v>
      </c>
      <c r="AA16" s="50" t="n">
        <f aca="false">IF(C16=1,ABS(Scorecard!AR16-I16),0)</f>
        <v>0</v>
      </c>
      <c r="AB16" s="50" t="n">
        <f aca="false">IF(C16=1,ABS(Scorecard!AS16-J16),0)</f>
        <v>0</v>
      </c>
      <c r="AC16" s="50" t="n">
        <f aca="false">IF(C16=1,ABS(Scorecard!AT16-K16),0)</f>
        <v>0</v>
      </c>
    </row>
    <row r="17" customFormat="false" ht="15" hidden="false" customHeight="false" outlineLevel="0" collapsed="false">
      <c r="A17" s="55" t="s">
        <v>241</v>
      </c>
      <c r="B17" s="55" t="s">
        <v>242</v>
      </c>
      <c r="C17" s="17" t="n">
        <v>0</v>
      </c>
      <c r="D17" s="20" t="n">
        <v>0.82444002673521</v>
      </c>
      <c r="E17" s="28" t="n">
        <v>44.6284498335056</v>
      </c>
      <c r="F17" s="28" t="n">
        <v>2.69014335893349</v>
      </c>
      <c r="V17" s="50" t="n">
        <f aca="false">ABS(Forecast!J17-D17)</f>
        <v>0</v>
      </c>
      <c r="W17" s="50" t="n">
        <f aca="false">ABS(Pools!L17-E17)</f>
        <v>0</v>
      </c>
      <c r="X17" s="50" t="n">
        <f aca="false">ABS(Pools!R17-F17)</f>
        <v>0</v>
      </c>
      <c r="Y17" s="50" t="n">
        <f aca="false">IF(C17=1,ABS(Scorecard!AC17-G17),0)</f>
        <v>0</v>
      </c>
      <c r="Z17" s="50" t="n">
        <f aca="false">IF(C17=1,ABS(Scorecard!AQ17-H17),0)</f>
        <v>0</v>
      </c>
      <c r="AA17" s="50" t="n">
        <f aca="false">IF(C17=1,ABS(Scorecard!AR17-I17),0)</f>
        <v>0</v>
      </c>
      <c r="AB17" s="50" t="n">
        <f aca="false">IF(C17=1,ABS(Scorecard!AS17-J17),0)</f>
        <v>0</v>
      </c>
      <c r="AC17" s="50" t="n">
        <f aca="false">IF(C17=1,ABS(Scorecard!AT17-K17),0)</f>
        <v>0</v>
      </c>
    </row>
    <row r="18" customFormat="false" ht="15" hidden="false" customHeight="false" outlineLevel="0" collapsed="false">
      <c r="A18" s="55" t="s">
        <v>243</v>
      </c>
      <c r="B18" s="55" t="s">
        <v>244</v>
      </c>
      <c r="C18" s="17" t="n">
        <v>0</v>
      </c>
      <c r="D18" s="20" t="n">
        <v>0.408080858762982</v>
      </c>
      <c r="E18" s="28" t="n">
        <v>7.66970550325398</v>
      </c>
      <c r="F18" s="28" t="n">
        <v>0.719942589207236</v>
      </c>
      <c r="V18" s="50" t="n">
        <f aca="false">ABS(Forecast!J18-D18)</f>
        <v>0</v>
      </c>
      <c r="W18" s="50" t="n">
        <f aca="false">ABS(Pools!L18-E18)</f>
        <v>0</v>
      </c>
      <c r="X18" s="50" t="n">
        <f aca="false">ABS(Pools!R18-F18)</f>
        <v>0</v>
      </c>
      <c r="Y18" s="50" t="n">
        <f aca="false">IF(C18=1,ABS(Scorecard!AC18-G18),0)</f>
        <v>0</v>
      </c>
      <c r="Z18" s="50" t="n">
        <f aca="false">IF(C18=1,ABS(Scorecard!AQ18-H18),0)</f>
        <v>0</v>
      </c>
      <c r="AA18" s="50" t="n">
        <f aca="false">IF(C18=1,ABS(Scorecard!AR18-I18),0)</f>
        <v>0</v>
      </c>
      <c r="AB18" s="50" t="n">
        <f aca="false">IF(C18=1,ABS(Scorecard!AS18-J18),0)</f>
        <v>0</v>
      </c>
      <c r="AC18" s="50" t="n">
        <f aca="false">IF(C18=1,ABS(Scorecard!AT18-K18),0)</f>
        <v>0</v>
      </c>
    </row>
    <row r="19" customFormat="false" ht="15" hidden="false" customHeight="false" outlineLevel="0" collapsed="false">
      <c r="A19" s="55" t="s">
        <v>245</v>
      </c>
      <c r="B19" s="55" t="s">
        <v>246</v>
      </c>
      <c r="C19" s="17" t="n">
        <v>1</v>
      </c>
      <c r="D19" s="20" t="n">
        <v>0.91329134351478</v>
      </c>
      <c r="E19" s="28" t="n">
        <v>584.035766715018</v>
      </c>
      <c r="F19" s="28" t="n">
        <v>27.533691524197</v>
      </c>
      <c r="G19" s="23" t="n">
        <v>39.3127837648709</v>
      </c>
      <c r="H19" s="23" t="n">
        <v>68.7449687338205</v>
      </c>
      <c r="I19" s="23" t="n">
        <v>51.986114403324</v>
      </c>
      <c r="J19" s="17" t="n">
        <v>11</v>
      </c>
      <c r="K19" s="20" t="n">
        <v>0.147333404768638</v>
      </c>
      <c r="L19" s="28" t="n">
        <v>-80.3942653825817</v>
      </c>
      <c r="M19" s="28" t="n">
        <v>-31.6574649904225</v>
      </c>
      <c r="N19" s="28" t="n">
        <v>39.0465866328564</v>
      </c>
      <c r="O19" s="28" t="n">
        <v>-26.1656521826425</v>
      </c>
      <c r="P19" s="28" t="n">
        <v>46.1017585912318</v>
      </c>
      <c r="Q19" s="23" t="n">
        <v>1.47622390275926</v>
      </c>
      <c r="R19" s="20" t="n">
        <v>0.002</v>
      </c>
      <c r="S19" s="20" t="n">
        <v>0.007</v>
      </c>
      <c r="T19" s="20" t="n">
        <v>0.0244</v>
      </c>
      <c r="V19" s="50" t="n">
        <f aca="false">ABS(Forecast!J19-D19)</f>
        <v>0</v>
      </c>
      <c r="W19" s="50" t="n">
        <f aca="false">ABS(Pools!L19-E19)</f>
        <v>0</v>
      </c>
      <c r="X19" s="50" t="n">
        <f aca="false">ABS(Pools!R19-F19)</f>
        <v>0</v>
      </c>
      <c r="Y19" s="50" t="n">
        <f aca="false">IF(C19=1,ABS(Scorecard!AC19-G19),0)</f>
        <v>0</v>
      </c>
      <c r="Z19" s="50" t="n">
        <f aca="false">IF(C19=1,ABS(Scorecard!AQ19-H19),0)</f>
        <v>0</v>
      </c>
      <c r="AA19" s="50" t="n">
        <f aca="false">IF(C19=1,ABS(Scorecard!AR19-I19),0)</f>
        <v>0</v>
      </c>
      <c r="AB19" s="50" t="n">
        <f aca="false">IF(C19=1,ABS(Scorecard!AS19-J19),0)</f>
        <v>0</v>
      </c>
      <c r="AC19" s="50" t="n">
        <f aca="false">IF(C19=1,ABS(Scorecard!AT19-K19),0)</f>
        <v>0</v>
      </c>
    </row>
    <row r="20" customFormat="false" ht="15" hidden="false" customHeight="false" outlineLevel="0" collapsed="false">
      <c r="A20" s="55" t="s">
        <v>247</v>
      </c>
      <c r="B20" s="55" t="s">
        <v>248</v>
      </c>
      <c r="C20" s="17" t="n">
        <v>1</v>
      </c>
      <c r="D20" s="20" t="n">
        <v>0.504279506007442</v>
      </c>
      <c r="E20" s="28" t="n">
        <v>79.5927186856283</v>
      </c>
      <c r="F20" s="28" t="n">
        <v>7.04819538764891</v>
      </c>
      <c r="G20" s="23" t="n">
        <v>45.6363153134888</v>
      </c>
      <c r="H20" s="23" t="n">
        <v>58.8256648200881</v>
      </c>
      <c r="I20" s="23" t="n">
        <v>51.8129963257786</v>
      </c>
      <c r="J20" s="17" t="n">
        <v>12</v>
      </c>
      <c r="K20" s="20" t="n">
        <v>0.13015186374065</v>
      </c>
      <c r="L20" s="28" t="n">
        <v>-67.8333695680109</v>
      </c>
      <c r="M20" s="28" t="n">
        <v>-46.8571655133505</v>
      </c>
      <c r="N20" s="28" t="n">
        <v>-6.04534749220038</v>
      </c>
      <c r="O20" s="28" t="n">
        <v>-41.8982620217281</v>
      </c>
      <c r="P20" s="28" t="n">
        <v>59.5825929590648</v>
      </c>
      <c r="Q20" s="23" t="n">
        <v>2.86694823423132</v>
      </c>
      <c r="R20" s="20" t="n">
        <v>0.0008</v>
      </c>
      <c r="S20" s="20" t="n">
        <v>0.0118</v>
      </c>
      <c r="T20" s="20" t="n">
        <v>0.024</v>
      </c>
      <c r="V20" s="50" t="n">
        <f aca="false">ABS(Forecast!J20-D20)</f>
        <v>0</v>
      </c>
      <c r="W20" s="50" t="n">
        <f aca="false">ABS(Pools!L20-E20)</f>
        <v>0</v>
      </c>
      <c r="X20" s="50" t="n">
        <f aca="false">ABS(Pools!R20-F20)</f>
        <v>0</v>
      </c>
      <c r="Y20" s="50" t="n">
        <f aca="false">IF(C20=1,ABS(Scorecard!AC20-G20),0)</f>
        <v>0</v>
      </c>
      <c r="Z20" s="50" t="n">
        <f aca="false">IF(C20=1,ABS(Scorecard!AQ20-H20),0)</f>
        <v>0</v>
      </c>
      <c r="AA20" s="50" t="n">
        <f aca="false">IF(C20=1,ABS(Scorecard!AR20-I20),0)</f>
        <v>0</v>
      </c>
      <c r="AB20" s="50" t="n">
        <f aca="false">IF(C20=1,ABS(Scorecard!AS20-J20),0)</f>
        <v>0</v>
      </c>
      <c r="AC20" s="50" t="n">
        <f aca="false">IF(C20=1,ABS(Scorecard!AT20-K20),0)</f>
        <v>0</v>
      </c>
    </row>
    <row r="21" customFormat="false" ht="15" hidden="false" customHeight="false" outlineLevel="0" collapsed="false">
      <c r="A21" s="55" t="s">
        <v>249</v>
      </c>
      <c r="B21" s="55" t="s">
        <v>250</v>
      </c>
      <c r="C21" s="17" t="n">
        <v>0</v>
      </c>
      <c r="D21" s="20" t="n">
        <v>0.92</v>
      </c>
      <c r="E21" s="28" t="n">
        <v>894.379519924432</v>
      </c>
      <c r="F21" s="28" t="n">
        <v>32.0816913153191</v>
      </c>
      <c r="V21" s="50" t="n">
        <f aca="false">ABS(Forecast!J21-D21)</f>
        <v>0</v>
      </c>
      <c r="W21" s="50" t="n">
        <f aca="false">ABS(Pools!L21-E21)</f>
        <v>0</v>
      </c>
      <c r="X21" s="50" t="n">
        <f aca="false">ABS(Pools!R21-F21)</f>
        <v>0</v>
      </c>
      <c r="Y21" s="50" t="n">
        <f aca="false">IF(C21=1,ABS(Scorecard!AC21-G21),0)</f>
        <v>0</v>
      </c>
      <c r="Z21" s="50" t="n">
        <f aca="false">IF(C21=1,ABS(Scorecard!AQ21-H21),0)</f>
        <v>0</v>
      </c>
      <c r="AA21" s="50" t="n">
        <f aca="false">IF(C21=1,ABS(Scorecard!AR21-I21),0)</f>
        <v>0</v>
      </c>
      <c r="AB21" s="50" t="n">
        <f aca="false">IF(C21=1,ABS(Scorecard!AS21-J21),0)</f>
        <v>0</v>
      </c>
      <c r="AC21" s="50" t="n">
        <f aca="false">IF(C21=1,ABS(Scorecard!AT21-K21),0)</f>
        <v>0</v>
      </c>
    </row>
    <row r="22" customFormat="false" ht="15" hidden="false" customHeight="false" outlineLevel="0" collapsed="false">
      <c r="A22" s="55" t="s">
        <v>251</v>
      </c>
      <c r="B22" s="55" t="s">
        <v>252</v>
      </c>
      <c r="C22" s="17" t="n">
        <v>0</v>
      </c>
      <c r="D22" s="20" t="n">
        <v>0.770564103507201</v>
      </c>
      <c r="E22" s="28" t="n">
        <v>21.1407980551677</v>
      </c>
      <c r="F22" s="28" t="n">
        <v>1.41065657887404</v>
      </c>
      <c r="V22" s="50" t="n">
        <f aca="false">ABS(Forecast!J22-D22)</f>
        <v>0</v>
      </c>
      <c r="W22" s="50" t="n">
        <f aca="false">ABS(Pools!L22-E22)</f>
        <v>0</v>
      </c>
      <c r="X22" s="50" t="n">
        <f aca="false">ABS(Pools!R22-F22)</f>
        <v>0</v>
      </c>
      <c r="Y22" s="50" t="n">
        <f aca="false">IF(C22=1,ABS(Scorecard!AC22-G22),0)</f>
        <v>0</v>
      </c>
      <c r="Z22" s="50" t="n">
        <f aca="false">IF(C22=1,ABS(Scorecard!AQ22-H22),0)</f>
        <v>0</v>
      </c>
      <c r="AA22" s="50" t="n">
        <f aca="false">IF(C22=1,ABS(Scorecard!AR22-I22),0)</f>
        <v>0</v>
      </c>
      <c r="AB22" s="50" t="n">
        <f aca="false">IF(C22=1,ABS(Scorecard!AS22-J22),0)</f>
        <v>0</v>
      </c>
      <c r="AC22" s="50" t="n">
        <f aca="false">IF(C22=1,ABS(Scorecard!AT22-K22),0)</f>
        <v>0</v>
      </c>
    </row>
    <row r="23" customFormat="false" ht="15" hidden="false" customHeight="false" outlineLevel="0" collapsed="false">
      <c r="A23" s="55" t="s">
        <v>253</v>
      </c>
      <c r="B23" s="55" t="s">
        <v>254</v>
      </c>
      <c r="C23" s="17" t="n">
        <v>1</v>
      </c>
      <c r="D23" s="20" t="n">
        <v>0.725807011199837</v>
      </c>
      <c r="E23" s="28" t="n">
        <v>40.9094102136802</v>
      </c>
      <c r="F23" s="28" t="n">
        <v>2.92168303068462</v>
      </c>
      <c r="G23" s="23" t="n">
        <v>46.7209204393295</v>
      </c>
      <c r="H23" s="23" t="n">
        <v>61.9406612795795</v>
      </c>
      <c r="I23" s="23" t="n">
        <v>53.7952108240379</v>
      </c>
      <c r="J23" s="17" t="n">
        <v>10</v>
      </c>
      <c r="K23" s="20" t="n">
        <v>0.130967882924768</v>
      </c>
      <c r="L23" s="28" t="n">
        <v>-58.89872417861</v>
      </c>
      <c r="M23" s="28" t="n">
        <v>-51.5892483041572</v>
      </c>
      <c r="N23" s="28" t="n">
        <v>-39.5624990982812</v>
      </c>
      <c r="O23" s="28" t="n">
        <v>-50.4099299713014</v>
      </c>
      <c r="P23" s="28" t="n">
        <v>65.0990616589862</v>
      </c>
      <c r="Q23" s="23" t="n">
        <v>6.65798486590534</v>
      </c>
      <c r="R23" s="20" t="n">
        <v>0.2218</v>
      </c>
      <c r="S23" s="20" t="n">
        <v>0.3138</v>
      </c>
      <c r="T23" s="20" t="n">
        <v>0.368</v>
      </c>
      <c r="V23" s="50" t="n">
        <f aca="false">ABS(Forecast!J23-D23)</f>
        <v>0</v>
      </c>
      <c r="W23" s="50" t="n">
        <f aca="false">ABS(Pools!L23-E23)</f>
        <v>0</v>
      </c>
      <c r="X23" s="50" t="n">
        <f aca="false">ABS(Pools!R23-F23)</f>
        <v>0</v>
      </c>
      <c r="Y23" s="50" t="n">
        <f aca="false">IF(C23=1,ABS(Scorecard!AC23-G23),0)</f>
        <v>0</v>
      </c>
      <c r="Z23" s="50" t="n">
        <f aca="false">IF(C23=1,ABS(Scorecard!AQ23-H23),0)</f>
        <v>0</v>
      </c>
      <c r="AA23" s="50" t="n">
        <f aca="false">IF(C23=1,ABS(Scorecard!AR23-I23),0)</f>
        <v>0</v>
      </c>
      <c r="AB23" s="50" t="n">
        <f aca="false">IF(C23=1,ABS(Scorecard!AS23-J23),0)</f>
        <v>0</v>
      </c>
      <c r="AC23" s="50" t="n">
        <f aca="false">IF(C23=1,ABS(Scorecard!AT23-K23),0)</f>
        <v>0</v>
      </c>
    </row>
    <row r="24" customFormat="false" ht="15" hidden="false" customHeight="false" outlineLevel="0" collapsed="false">
      <c r="A24" s="55" t="s">
        <v>255</v>
      </c>
      <c r="B24" s="55" t="s">
        <v>256</v>
      </c>
      <c r="C24" s="17" t="n">
        <v>1</v>
      </c>
      <c r="D24" s="20" t="n">
        <v>0.41223283140523</v>
      </c>
      <c r="E24" s="28" t="n">
        <v>117.792083270247</v>
      </c>
      <c r="F24" s="28" t="n">
        <v>11.032171545206</v>
      </c>
      <c r="G24" s="23" t="n">
        <v>53.5221027478631</v>
      </c>
      <c r="H24" s="23" t="n">
        <v>54.9013834460908</v>
      </c>
      <c r="I24" s="23" t="n">
        <v>54.2073563808595</v>
      </c>
      <c r="J24" s="17" t="n">
        <v>9</v>
      </c>
      <c r="K24" s="20" t="n">
        <v>0.131754022942759</v>
      </c>
      <c r="L24" s="28" t="n">
        <v>-92.490708250449</v>
      </c>
      <c r="M24" s="28" t="n">
        <v>-58.2110527865971</v>
      </c>
      <c r="N24" s="28" t="n">
        <v>14.3458267592949</v>
      </c>
      <c r="O24" s="28" t="n">
        <v>-48.6417467660871</v>
      </c>
      <c r="P24" s="28" t="n">
        <v>75.168819521906</v>
      </c>
      <c r="Q24" s="23" t="n">
        <v>2.44422023625105</v>
      </c>
      <c r="R24" s="20" t="n">
        <v>0.0236</v>
      </c>
      <c r="S24" s="20" t="n">
        <v>0.0588</v>
      </c>
      <c r="T24" s="20" t="n">
        <v>0.0978</v>
      </c>
      <c r="V24" s="50" t="n">
        <f aca="false">ABS(Forecast!J24-D24)</f>
        <v>0</v>
      </c>
      <c r="W24" s="50" t="n">
        <f aca="false">ABS(Pools!L24-E24)</f>
        <v>0</v>
      </c>
      <c r="X24" s="50" t="n">
        <f aca="false">ABS(Pools!R24-F24)</f>
        <v>0</v>
      </c>
      <c r="Y24" s="50" t="n">
        <f aca="false">IF(C24=1,ABS(Scorecard!AC24-G24),0)</f>
        <v>0</v>
      </c>
      <c r="Z24" s="50" t="n">
        <f aca="false">IF(C24=1,ABS(Scorecard!AQ24-H24),0)</f>
        <v>0</v>
      </c>
      <c r="AA24" s="50" t="n">
        <f aca="false">IF(C24=1,ABS(Scorecard!AR24-I24),0)</f>
        <v>0</v>
      </c>
      <c r="AB24" s="50" t="n">
        <f aca="false">IF(C24=1,ABS(Scorecard!AS24-J24),0)</f>
        <v>0</v>
      </c>
      <c r="AC24" s="50" t="n">
        <f aca="false">IF(C24=1,ABS(Scorecard!AT24-K24),0)</f>
        <v>0</v>
      </c>
    </row>
    <row r="25" customFormat="false" ht="15" hidden="false" customHeight="false" outlineLevel="0" collapsed="false">
      <c r="A25" s="55" t="s">
        <v>257</v>
      </c>
      <c r="B25" s="55" t="s">
        <v>258</v>
      </c>
      <c r="C25" s="17" t="n">
        <v>1</v>
      </c>
      <c r="D25" s="20" t="n">
        <v>0.724767816226123</v>
      </c>
      <c r="E25" s="28" t="n">
        <v>162.222233489657</v>
      </c>
      <c r="F25" s="28" t="n">
        <v>11.6022999529693</v>
      </c>
      <c r="G25" s="23" t="n">
        <v>44.3754040195818</v>
      </c>
      <c r="H25" s="23" t="n">
        <v>57.5643927476352</v>
      </c>
      <c r="I25" s="23" t="n">
        <v>50.5414996346388</v>
      </c>
      <c r="J25" s="17" t="n">
        <v>13</v>
      </c>
      <c r="K25" s="20" t="n">
        <v>0.147730606619273</v>
      </c>
      <c r="L25" s="28" t="n">
        <v>-71.9534194069835</v>
      </c>
      <c r="M25" s="28" t="n">
        <v>-45.4452568698141</v>
      </c>
      <c r="N25" s="28" t="n">
        <v>-1.69433557132143</v>
      </c>
      <c r="O25" s="28" t="n">
        <v>-41.1345671794833</v>
      </c>
      <c r="P25" s="28" t="n">
        <v>58.669039796769</v>
      </c>
      <c r="Q25" s="23" t="n">
        <v>2.37490148174234</v>
      </c>
      <c r="R25" s="20" t="n">
        <v>0</v>
      </c>
      <c r="S25" s="20" t="n">
        <v>0.0006</v>
      </c>
      <c r="T25" s="20" t="n">
        <v>0.0058</v>
      </c>
      <c r="V25" s="50" t="n">
        <f aca="false">ABS(Forecast!J25-D25)</f>
        <v>0</v>
      </c>
      <c r="W25" s="50" t="n">
        <f aca="false">ABS(Pools!L25-E25)</f>
        <v>0</v>
      </c>
      <c r="X25" s="50" t="n">
        <f aca="false">ABS(Pools!R25-F25)</f>
        <v>0</v>
      </c>
      <c r="Y25" s="50" t="n">
        <f aca="false">IF(C25=1,ABS(Scorecard!AC25-G25),0)</f>
        <v>0</v>
      </c>
      <c r="Z25" s="50" t="n">
        <f aca="false">IF(C25=1,ABS(Scorecard!AQ25-H25),0)</f>
        <v>0</v>
      </c>
      <c r="AA25" s="50" t="n">
        <f aca="false">IF(C25=1,ABS(Scorecard!AR25-I25),0)</f>
        <v>0</v>
      </c>
      <c r="AB25" s="50" t="n">
        <f aca="false">IF(C25=1,ABS(Scorecard!AS25-J25),0)</f>
        <v>0</v>
      </c>
      <c r="AC25" s="50" t="n">
        <f aca="false">IF(C25=1,ABS(Scorecard!AT25-K25),0)</f>
        <v>0</v>
      </c>
    </row>
    <row r="26" customFormat="false" ht="15" hidden="false" customHeight="false" outlineLevel="0" collapsed="false">
      <c r="A26" s="55" t="s">
        <v>259</v>
      </c>
      <c r="B26" s="55" t="s">
        <v>260</v>
      </c>
      <c r="C26" s="17" t="n">
        <v>1</v>
      </c>
      <c r="D26" s="20" t="n">
        <v>0.732598128690302</v>
      </c>
      <c r="E26" s="28" t="n">
        <v>198.025767738492</v>
      </c>
      <c r="F26" s="28" t="n">
        <v>14.0085019197232</v>
      </c>
      <c r="G26" s="23" t="n">
        <v>50.1129313304442</v>
      </c>
      <c r="H26" s="23" t="n">
        <v>45.0489616941059</v>
      </c>
      <c r="I26" s="23" t="n">
        <v>47.5135299034343</v>
      </c>
      <c r="J26" s="17" t="n">
        <v>17</v>
      </c>
      <c r="K26" s="20" t="n">
        <v>0.169144967890617</v>
      </c>
      <c r="L26" s="28" t="n">
        <v>-66.5350997627307</v>
      </c>
      <c r="M26" s="28" t="n">
        <v>-38.1022202686154</v>
      </c>
      <c r="N26" s="28" t="n">
        <v>8.4992360605595</v>
      </c>
      <c r="O26" s="28" t="n">
        <v>-33.5600760598505</v>
      </c>
      <c r="P26" s="28" t="n">
        <v>50.4794710328988</v>
      </c>
      <c r="Q26" s="23" t="n">
        <v>2.07149175629419</v>
      </c>
      <c r="R26" s="20" t="n">
        <v>0</v>
      </c>
      <c r="S26" s="20" t="n">
        <v>0</v>
      </c>
      <c r="T26" s="20" t="n">
        <v>0</v>
      </c>
      <c r="V26" s="50" t="n">
        <f aca="false">ABS(Forecast!J26-D26)</f>
        <v>0</v>
      </c>
      <c r="W26" s="50" t="n">
        <f aca="false">ABS(Pools!L26-E26)</f>
        <v>0</v>
      </c>
      <c r="X26" s="50" t="n">
        <f aca="false">ABS(Pools!R26-F26)</f>
        <v>0</v>
      </c>
      <c r="Y26" s="50" t="n">
        <f aca="false">IF(C26=1,ABS(Scorecard!AC26-G26),0)</f>
        <v>0</v>
      </c>
      <c r="Z26" s="50" t="n">
        <f aca="false">IF(C26=1,ABS(Scorecard!AQ26-H26),0)</f>
        <v>0</v>
      </c>
      <c r="AA26" s="50" t="n">
        <f aca="false">IF(C26=1,ABS(Scorecard!AR26-I26),0)</f>
        <v>0</v>
      </c>
      <c r="AB26" s="50" t="n">
        <f aca="false">IF(C26=1,ABS(Scorecard!AS26-J26),0)</f>
        <v>0</v>
      </c>
      <c r="AC26" s="50" t="n">
        <f aca="false">IF(C26=1,ABS(Scorecard!AT26-K26),0)</f>
        <v>0</v>
      </c>
    </row>
    <row r="27" customFormat="false" ht="15" hidden="false" customHeight="false" outlineLevel="0" collapsed="false">
      <c r="A27" s="55" t="s">
        <v>261</v>
      </c>
      <c r="B27" s="55" t="s">
        <v>262</v>
      </c>
      <c r="C27" s="17" t="n">
        <v>0</v>
      </c>
      <c r="D27" s="20" t="n">
        <v>0.247717545663936</v>
      </c>
      <c r="E27" s="28" t="n">
        <v>2.12468246303822</v>
      </c>
      <c r="F27" s="28" t="n">
        <v>0.214470098144555</v>
      </c>
      <c r="V27" s="50" t="n">
        <f aca="false">ABS(Forecast!J27-D27)</f>
        <v>0</v>
      </c>
      <c r="W27" s="50" t="n">
        <f aca="false">ABS(Pools!L27-E27)</f>
        <v>0</v>
      </c>
      <c r="X27" s="50" t="n">
        <f aca="false">ABS(Pools!R27-F27)</f>
        <v>0</v>
      </c>
      <c r="Y27" s="50" t="n">
        <f aca="false">IF(C27=1,ABS(Scorecard!AC27-G27),0)</f>
        <v>0</v>
      </c>
      <c r="Z27" s="50" t="n">
        <f aca="false">IF(C27=1,ABS(Scorecard!AQ27-H27),0)</f>
        <v>0</v>
      </c>
      <c r="AA27" s="50" t="n">
        <f aca="false">IF(C27=1,ABS(Scorecard!AR27-I27),0)</f>
        <v>0</v>
      </c>
      <c r="AB27" s="50" t="n">
        <f aca="false">IF(C27=1,ABS(Scorecard!AS27-J27),0)</f>
        <v>0</v>
      </c>
      <c r="AC27" s="50" t="n">
        <f aca="false">IF(C27=1,ABS(Scorecard!AT27-K27),0)</f>
        <v>0</v>
      </c>
    </row>
    <row r="28" customFormat="false" ht="15" hidden="false" customHeight="false" outlineLevel="0" collapsed="false">
      <c r="A28" s="55" t="s">
        <v>263</v>
      </c>
      <c r="B28" s="55" t="s">
        <v>264</v>
      </c>
      <c r="C28" s="17" t="n">
        <v>1</v>
      </c>
      <c r="D28" s="20" t="n">
        <v>0.711110198398334</v>
      </c>
      <c r="E28" s="28" t="n">
        <v>211.265684540985</v>
      </c>
      <c r="F28" s="28" t="n">
        <v>15.3898045243106</v>
      </c>
      <c r="G28" s="23" t="n">
        <v>49.8455208317566</v>
      </c>
      <c r="H28" s="23" t="n">
        <v>46.423595877161</v>
      </c>
      <c r="I28" s="23" t="n">
        <v>48.104140314323</v>
      </c>
      <c r="J28" s="17" t="n">
        <v>16</v>
      </c>
      <c r="K28" s="20" t="n">
        <v>0.169624384740003</v>
      </c>
      <c r="L28" s="28" t="n">
        <v>-78.1299217064053</v>
      </c>
      <c r="M28" s="28" t="n">
        <v>-47.0696030606181</v>
      </c>
      <c r="N28" s="28" t="n">
        <v>5.30296084319978</v>
      </c>
      <c r="O28" s="28" t="n">
        <v>-41.7415417461104</v>
      </c>
      <c r="P28" s="28" t="n">
        <v>62.4893010769434</v>
      </c>
      <c r="Q28" s="23" t="n">
        <v>2.2226719329292</v>
      </c>
      <c r="R28" s="20" t="n">
        <v>0</v>
      </c>
      <c r="S28" s="20" t="n">
        <v>0.0106</v>
      </c>
      <c r="T28" s="20" t="n">
        <v>0.0312</v>
      </c>
      <c r="V28" s="50" t="n">
        <f aca="false">ABS(Forecast!J28-D28)</f>
        <v>0</v>
      </c>
      <c r="W28" s="50" t="n">
        <f aca="false">ABS(Pools!L28-E28)</f>
        <v>0</v>
      </c>
      <c r="X28" s="50" t="n">
        <f aca="false">ABS(Pools!R28-F28)</f>
        <v>0</v>
      </c>
      <c r="Y28" s="50" t="n">
        <f aca="false">IF(C28=1,ABS(Scorecard!AC28-G28),0)</f>
        <v>0</v>
      </c>
      <c r="Z28" s="50" t="n">
        <f aca="false">IF(C28=1,ABS(Scorecard!AQ28-H28),0)</f>
        <v>0</v>
      </c>
      <c r="AA28" s="50" t="n">
        <f aca="false">IF(C28=1,ABS(Scorecard!AR28-I28),0)</f>
        <v>0</v>
      </c>
      <c r="AB28" s="50" t="n">
        <f aca="false">IF(C28=1,ABS(Scorecard!AS28-J28),0)</f>
        <v>0</v>
      </c>
      <c r="AC28" s="50" t="n">
        <f aca="false">IF(C28=1,ABS(Scorecard!AT28-K28),0)</f>
        <v>0</v>
      </c>
    </row>
    <row r="29" customFormat="false" ht="15" hidden="false" customHeight="false" outlineLevel="0" collapsed="false">
      <c r="A29" s="55" t="s">
        <v>265</v>
      </c>
      <c r="B29" s="55" t="s">
        <v>266</v>
      </c>
      <c r="C29" s="17" t="n">
        <v>0</v>
      </c>
      <c r="D29" s="20" t="n">
        <v>0.733066472632246</v>
      </c>
      <c r="E29" s="28" t="n">
        <v>32.4269844409473</v>
      </c>
      <c r="F29" s="28" t="n">
        <v>2.2923817370855</v>
      </c>
      <c r="V29" s="50" t="n">
        <f aca="false">ABS(Forecast!J29-D29)</f>
        <v>0</v>
      </c>
      <c r="W29" s="50" t="n">
        <f aca="false">ABS(Pools!L29-E29)</f>
        <v>0</v>
      </c>
      <c r="X29" s="50" t="n">
        <f aca="false">ABS(Pools!R29-F29)</f>
        <v>0</v>
      </c>
      <c r="Y29" s="50" t="n">
        <f aca="false">IF(C29=1,ABS(Scorecard!AC29-G29),0)</f>
        <v>0</v>
      </c>
      <c r="Z29" s="50" t="n">
        <f aca="false">IF(C29=1,ABS(Scorecard!AQ29-H29),0)</f>
        <v>0</v>
      </c>
      <c r="AA29" s="50" t="n">
        <f aca="false">IF(C29=1,ABS(Scorecard!AR29-I29),0)</f>
        <v>0</v>
      </c>
      <c r="AB29" s="50" t="n">
        <f aca="false">IF(C29=1,ABS(Scorecard!AS29-J29),0)</f>
        <v>0</v>
      </c>
      <c r="AC29" s="50" t="n">
        <f aca="false">IF(C29=1,ABS(Scorecard!AT29-K29),0)</f>
        <v>0</v>
      </c>
    </row>
    <row r="30" customFormat="false" ht="15" hidden="false" customHeight="false" outlineLevel="0" collapsed="false">
      <c r="A30" s="55" t="s">
        <v>267</v>
      </c>
      <c r="B30" s="55" t="s">
        <v>268</v>
      </c>
      <c r="C30" s="17" t="n">
        <v>1</v>
      </c>
      <c r="D30" s="20" t="n">
        <v>0.150129759934017</v>
      </c>
      <c r="E30" s="28" t="n">
        <v>16.5608305676065</v>
      </c>
      <c r="F30" s="28" t="n">
        <v>1.72955435922234</v>
      </c>
      <c r="G30" s="23" t="n">
        <v>45.0332866764229</v>
      </c>
      <c r="H30" s="23" t="n">
        <v>25.2951146290647</v>
      </c>
      <c r="I30" s="23" t="n">
        <v>33.7508836714485</v>
      </c>
      <c r="J30" s="17" t="n">
        <v>25</v>
      </c>
      <c r="K30" s="20" t="n">
        <v>0.163098588102957</v>
      </c>
      <c r="L30" s="28" t="n">
        <v>-77.2396004165138</v>
      </c>
      <c r="M30" s="28" t="n">
        <v>-72.2968554026742</v>
      </c>
      <c r="N30" s="28" t="n">
        <v>-56.984655449212</v>
      </c>
      <c r="O30" s="28" t="n">
        <v>-69.7044916677686</v>
      </c>
      <c r="P30" s="28" t="n">
        <v>102.618166403043</v>
      </c>
      <c r="Q30" s="23" t="n">
        <v>14.068105200166</v>
      </c>
      <c r="R30" s="20" t="n">
        <v>0.0016</v>
      </c>
      <c r="S30" s="20" t="n">
        <v>0.0036</v>
      </c>
      <c r="T30" s="20" t="n">
        <v>0.006</v>
      </c>
      <c r="V30" s="50" t="n">
        <f aca="false">ABS(Forecast!J30-D30)</f>
        <v>0</v>
      </c>
      <c r="W30" s="50" t="n">
        <f aca="false">ABS(Pools!L30-E30)</f>
        <v>0</v>
      </c>
      <c r="X30" s="50" t="n">
        <f aca="false">ABS(Pools!R30-F30)</f>
        <v>0</v>
      </c>
      <c r="Y30" s="50" t="n">
        <f aca="false">IF(C30=1,ABS(Scorecard!AC30-G30),0)</f>
        <v>0</v>
      </c>
      <c r="Z30" s="50" t="n">
        <f aca="false">IF(C30=1,ABS(Scorecard!AQ30-H30),0)</f>
        <v>0</v>
      </c>
      <c r="AA30" s="50" t="n">
        <f aca="false">IF(C30=1,ABS(Scorecard!AR30-I30),0)</f>
        <v>0</v>
      </c>
      <c r="AB30" s="50" t="n">
        <f aca="false">IF(C30=1,ABS(Scorecard!AS30-J30),0)</f>
        <v>0</v>
      </c>
      <c r="AC30" s="50" t="n">
        <f aca="false">IF(C30=1,ABS(Scorecard!AT30-K30),0)</f>
        <v>0</v>
      </c>
    </row>
    <row r="31" customFormat="false" ht="15" hidden="false" customHeight="false" outlineLevel="0" collapsed="false">
      <c r="A31" s="55" t="s">
        <v>269</v>
      </c>
      <c r="B31" s="55" t="s">
        <v>270</v>
      </c>
      <c r="C31" s="17" t="n">
        <v>1</v>
      </c>
      <c r="D31" s="20" t="n">
        <v>0.587756376365401</v>
      </c>
      <c r="E31" s="28" t="n">
        <v>1320.97118916783</v>
      </c>
      <c r="F31" s="28" t="n">
        <v>109.7097741479</v>
      </c>
      <c r="G31" s="23" t="n">
        <v>68.7314232162039</v>
      </c>
      <c r="H31" s="23" t="n">
        <v>30.4976628134521</v>
      </c>
      <c r="I31" s="23" t="n">
        <v>45.7837063805068</v>
      </c>
      <c r="J31" s="17" t="n">
        <v>20</v>
      </c>
      <c r="K31" s="20" t="n">
        <v>0.189584284809277</v>
      </c>
      <c r="L31" s="28" t="n">
        <v>-120.721890965846</v>
      </c>
      <c r="M31" s="28" t="n">
        <v>89.4041783736116</v>
      </c>
      <c r="N31" s="28" t="n">
        <v>479.098136439502</v>
      </c>
      <c r="O31" s="28" t="n">
        <v>134.29615055522</v>
      </c>
      <c r="P31" s="28" t="n">
        <v>77.4880475920491</v>
      </c>
      <c r="Q31" s="23" t="n">
        <v>0.648865151644864</v>
      </c>
      <c r="R31" s="20" t="n">
        <v>0.0048</v>
      </c>
      <c r="S31" s="20" t="n">
        <v>0.013</v>
      </c>
      <c r="T31" s="20" t="n">
        <v>0.0406</v>
      </c>
      <c r="V31" s="50" t="n">
        <f aca="false">ABS(Forecast!J31-D31)</f>
        <v>0</v>
      </c>
      <c r="W31" s="50" t="n">
        <f aca="false">ABS(Pools!L31-E31)</f>
        <v>0</v>
      </c>
      <c r="X31" s="50" t="n">
        <f aca="false">ABS(Pools!R31-F31)</f>
        <v>0</v>
      </c>
      <c r="Y31" s="50" t="n">
        <f aca="false">IF(C31=1,ABS(Scorecard!AC31-G31),0)</f>
        <v>0</v>
      </c>
      <c r="Z31" s="50" t="n">
        <f aca="false">IF(C31=1,ABS(Scorecard!AQ31-H31),0)</f>
        <v>0</v>
      </c>
      <c r="AA31" s="50" t="n">
        <f aca="false">IF(C31=1,ABS(Scorecard!AR31-I31),0)</f>
        <v>0</v>
      </c>
      <c r="AB31" s="50" t="n">
        <f aca="false">IF(C31=1,ABS(Scorecard!AS31-J31),0)</f>
        <v>0</v>
      </c>
      <c r="AC31" s="50" t="n">
        <f aca="false">IF(C31=1,ABS(Scorecard!AT31-K31),0)</f>
        <v>0</v>
      </c>
    </row>
    <row r="32" customFormat="false" ht="15" hidden="false" customHeight="false" outlineLevel="0" collapsed="false">
      <c r="A32" s="55" t="s">
        <v>271</v>
      </c>
      <c r="B32" s="55" t="s">
        <v>272</v>
      </c>
      <c r="C32" s="17" t="n">
        <v>1</v>
      </c>
      <c r="D32" s="20" t="n">
        <v>0.855276443270527</v>
      </c>
      <c r="E32" s="28" t="n">
        <v>223.560551411122</v>
      </c>
      <c r="F32" s="28" t="n">
        <v>12.5457407818462</v>
      </c>
      <c r="G32" s="23" t="n">
        <v>41.4190802205252</v>
      </c>
      <c r="H32" s="23" t="n">
        <v>74.1286449274866</v>
      </c>
      <c r="I32" s="23" t="n">
        <v>55.4106514209172</v>
      </c>
      <c r="J32" s="17" t="n">
        <v>6</v>
      </c>
      <c r="K32" s="20" t="n">
        <v>0.12862060090985</v>
      </c>
      <c r="L32" s="28" t="n">
        <v>-71.9660736806315</v>
      </c>
      <c r="M32" s="28" t="n">
        <v>-43.2094096512835</v>
      </c>
      <c r="N32" s="28" t="n">
        <v>-1.86133781862719</v>
      </c>
      <c r="O32" s="28" t="n">
        <v>-40.0615577004564</v>
      </c>
      <c r="P32" s="28" t="n">
        <v>52.6261355440678</v>
      </c>
      <c r="Q32" s="23" t="n">
        <v>2.15402167089008</v>
      </c>
      <c r="R32" s="20" t="n">
        <v>0.0606</v>
      </c>
      <c r="S32" s="20" t="n">
        <v>0.1984</v>
      </c>
      <c r="T32" s="20" t="n">
        <v>0.2526</v>
      </c>
      <c r="V32" s="50" t="n">
        <f aca="false">ABS(Forecast!J32-D32)</f>
        <v>0</v>
      </c>
      <c r="W32" s="50" t="n">
        <f aca="false">ABS(Pools!L32-E32)</f>
        <v>0</v>
      </c>
      <c r="X32" s="50" t="n">
        <f aca="false">ABS(Pools!R32-F32)</f>
        <v>0</v>
      </c>
      <c r="Y32" s="50" t="n">
        <f aca="false">IF(C32=1,ABS(Scorecard!AC32-G32),0)</f>
        <v>0</v>
      </c>
      <c r="Z32" s="50" t="n">
        <f aca="false">IF(C32=1,ABS(Scorecard!AQ32-H32),0)</f>
        <v>0</v>
      </c>
      <c r="AA32" s="50" t="n">
        <f aca="false">IF(C32=1,ABS(Scorecard!AR32-I32),0)</f>
        <v>0</v>
      </c>
      <c r="AB32" s="50" t="n">
        <f aca="false">IF(C32=1,ABS(Scorecard!AS32-J32),0)</f>
        <v>0</v>
      </c>
      <c r="AC32" s="50" t="n">
        <f aca="false">IF(C32=1,ABS(Scorecard!AT32-K32),0)</f>
        <v>0</v>
      </c>
    </row>
    <row r="33" customFormat="false" ht="15" hidden="false" customHeight="false" outlineLevel="0" collapsed="false">
      <c r="A33" s="55" t="s">
        <v>273</v>
      </c>
      <c r="B33" s="55" t="s">
        <v>274</v>
      </c>
      <c r="C33" s="17" t="n">
        <v>1</v>
      </c>
      <c r="D33" s="20" t="n">
        <v>0.581168207777244</v>
      </c>
      <c r="E33" s="28" t="n">
        <v>58.9452391911679</v>
      </c>
      <c r="F33" s="28" t="n">
        <v>4.92322722111416</v>
      </c>
      <c r="G33" s="23" t="n">
        <v>41.2338959471284</v>
      </c>
      <c r="H33" s="23" t="n">
        <v>53.3567991249364</v>
      </c>
      <c r="I33" s="23" t="n">
        <v>46.9053163638139</v>
      </c>
      <c r="J33" s="17" t="n">
        <v>18</v>
      </c>
      <c r="K33" s="20" t="n">
        <v>0.148932043331613</v>
      </c>
      <c r="L33" s="28" t="n">
        <v>-54.1911735199493</v>
      </c>
      <c r="M33" s="28" t="n">
        <v>-41.9379151571993</v>
      </c>
      <c r="N33" s="28" t="n">
        <v>-19.3336066541036</v>
      </c>
      <c r="O33" s="28" t="n">
        <v>-39.3501526221129</v>
      </c>
      <c r="P33" s="28" t="n">
        <v>55.7420058940323</v>
      </c>
      <c r="Q33" s="23" t="n">
        <v>3.82071604916587</v>
      </c>
      <c r="R33" s="20" t="n">
        <v>0</v>
      </c>
      <c r="S33" s="20" t="n">
        <v>0.0016</v>
      </c>
      <c r="T33" s="20" t="n">
        <v>0.0146</v>
      </c>
      <c r="V33" s="50" t="n">
        <f aca="false">ABS(Forecast!J33-D33)</f>
        <v>0</v>
      </c>
      <c r="W33" s="50" t="n">
        <f aca="false">ABS(Pools!L33-E33)</f>
        <v>0</v>
      </c>
      <c r="X33" s="50" t="n">
        <f aca="false">ABS(Pools!R33-F33)</f>
        <v>0</v>
      </c>
      <c r="Y33" s="50" t="n">
        <f aca="false">IF(C33=1,ABS(Scorecard!AC33-G33),0)</f>
        <v>0</v>
      </c>
      <c r="Z33" s="50" t="n">
        <f aca="false">IF(C33=1,ABS(Scorecard!AQ33-H33),0)</f>
        <v>0</v>
      </c>
      <c r="AA33" s="50" t="n">
        <f aca="false">IF(C33=1,ABS(Scorecard!AR33-I33),0)</f>
        <v>0</v>
      </c>
      <c r="AB33" s="50" t="n">
        <f aca="false">IF(C33=1,ABS(Scorecard!AS33-J33),0)</f>
        <v>0</v>
      </c>
      <c r="AC33" s="50" t="n">
        <f aca="false">IF(C33=1,ABS(Scorecard!AT33-K33),0)</f>
        <v>0</v>
      </c>
    </row>
    <row r="34" customFormat="false" ht="15" hidden="false" customHeight="false" outlineLevel="0" collapsed="false">
      <c r="A34" s="55" t="s">
        <v>275</v>
      </c>
      <c r="B34" s="55" t="s">
        <v>276</v>
      </c>
      <c r="C34" s="17" t="n">
        <v>1</v>
      </c>
      <c r="D34" s="20" t="n">
        <v>0.574740701589818</v>
      </c>
      <c r="E34" s="28" t="n">
        <v>377.493922132558</v>
      </c>
      <c r="F34" s="28" t="n">
        <v>31.6996664449065</v>
      </c>
      <c r="G34" s="23" t="n">
        <v>41.4562569551054</v>
      </c>
      <c r="H34" s="23" t="n">
        <v>58.5407525585188</v>
      </c>
      <c r="I34" s="23" t="n">
        <v>49.2633786946369</v>
      </c>
      <c r="J34" s="17" t="n">
        <v>15</v>
      </c>
      <c r="K34" s="20" t="n">
        <v>0.137361491548666</v>
      </c>
      <c r="L34" s="28" t="n">
        <v>-121.665335004965</v>
      </c>
      <c r="M34" s="28" t="n">
        <v>-39.9614996719619</v>
      </c>
      <c r="N34" s="28" t="n">
        <v>112.210888396718</v>
      </c>
      <c r="O34" s="28" t="n">
        <v>-22.3443614880429</v>
      </c>
      <c r="P34" s="28" t="n">
        <v>73.3266013358588</v>
      </c>
      <c r="Q34" s="23" t="n">
        <v>1.40478629382159</v>
      </c>
      <c r="R34" s="20" t="n">
        <v>0.0036</v>
      </c>
      <c r="S34" s="20" t="n">
        <v>0.0074</v>
      </c>
      <c r="T34" s="20" t="n">
        <v>0.0154</v>
      </c>
      <c r="V34" s="50" t="n">
        <f aca="false">ABS(Forecast!J34-D34)</f>
        <v>0</v>
      </c>
      <c r="W34" s="50" t="n">
        <f aca="false">ABS(Pools!L34-E34)</f>
        <v>0</v>
      </c>
      <c r="X34" s="50" t="n">
        <f aca="false">ABS(Pools!R34-F34)</f>
        <v>0</v>
      </c>
      <c r="Y34" s="50" t="n">
        <f aca="false">IF(C34=1,ABS(Scorecard!AC34-G34),0)</f>
        <v>0</v>
      </c>
      <c r="Z34" s="50" t="n">
        <f aca="false">IF(C34=1,ABS(Scorecard!AQ34-H34),0)</f>
        <v>0</v>
      </c>
      <c r="AA34" s="50" t="n">
        <f aca="false">IF(C34=1,ABS(Scorecard!AR34-I34),0)</f>
        <v>0</v>
      </c>
      <c r="AB34" s="50" t="n">
        <f aca="false">IF(C34=1,ABS(Scorecard!AS34-J34),0)</f>
        <v>0</v>
      </c>
      <c r="AC34" s="50" t="n">
        <f aca="false">IF(C34=1,ABS(Scorecard!AT34-K34),0)</f>
        <v>0</v>
      </c>
    </row>
    <row r="35" customFormat="false" ht="15" hidden="false" customHeight="false" outlineLevel="0" collapsed="false">
      <c r="A35" s="55" t="s">
        <v>277</v>
      </c>
      <c r="B35" s="55" t="s">
        <v>278</v>
      </c>
      <c r="C35" s="17" t="n">
        <v>1</v>
      </c>
      <c r="D35" s="20" t="n">
        <v>0.766140656862896</v>
      </c>
      <c r="E35" s="28" t="n">
        <v>672.623861292295</v>
      </c>
      <c r="F35" s="28" t="n">
        <v>45.2105654269449</v>
      </c>
      <c r="G35" s="23" t="n">
        <v>54.3176224152719</v>
      </c>
      <c r="H35" s="23" t="n">
        <v>79.4208067273183</v>
      </c>
      <c r="I35" s="23" t="n">
        <v>65.6806622357811</v>
      </c>
      <c r="J35" s="17" t="n">
        <v>1</v>
      </c>
      <c r="K35" s="20" t="n">
        <v>0.127992632329456</v>
      </c>
      <c r="L35" s="28" t="n">
        <v>-102.088438904262</v>
      </c>
      <c r="M35" s="28" t="n">
        <v>13.478932655353</v>
      </c>
      <c r="N35" s="28" t="n">
        <v>194.47358725021</v>
      </c>
      <c r="O35" s="28" t="n">
        <v>29.8357534141636</v>
      </c>
      <c r="P35" s="28" t="n">
        <v>56.2366530208733</v>
      </c>
      <c r="Q35" s="23" t="n">
        <v>0.907671364705823</v>
      </c>
      <c r="R35" s="20" t="n">
        <v>0.263</v>
      </c>
      <c r="S35" s="20" t="n">
        <v>0.4914</v>
      </c>
      <c r="T35" s="20" t="n">
        <v>0.5858</v>
      </c>
      <c r="V35" s="50" t="n">
        <f aca="false">ABS(Forecast!J35-D35)</f>
        <v>0</v>
      </c>
      <c r="W35" s="50" t="n">
        <f aca="false">ABS(Pools!L35-E35)</f>
        <v>0</v>
      </c>
      <c r="X35" s="50" t="n">
        <f aca="false">ABS(Pools!R35-F35)</f>
        <v>0</v>
      </c>
      <c r="Y35" s="50" t="n">
        <f aca="false">IF(C35=1,ABS(Scorecard!AC35-G35),0)</f>
        <v>0</v>
      </c>
      <c r="Z35" s="50" t="n">
        <f aca="false">IF(C35=1,ABS(Scorecard!AQ35-H35),0)</f>
        <v>0</v>
      </c>
      <c r="AA35" s="50" t="n">
        <f aca="false">IF(C35=1,ABS(Scorecard!AR35-I35),0)</f>
        <v>0</v>
      </c>
      <c r="AB35" s="50" t="n">
        <f aca="false">IF(C35=1,ABS(Scorecard!AS35-J35),0)</f>
        <v>0</v>
      </c>
      <c r="AC35" s="50" t="n">
        <f aca="false">IF(C35=1,ABS(Scorecard!AT35-K35),0)</f>
        <v>0</v>
      </c>
    </row>
    <row r="36" customFormat="false" ht="15" hidden="false" customHeight="false" outlineLevel="0" collapsed="false">
      <c r="A36" s="55" t="s">
        <v>279</v>
      </c>
      <c r="B36" s="55" t="s">
        <v>280</v>
      </c>
      <c r="C36" s="17" t="n">
        <v>1</v>
      </c>
      <c r="D36" s="20" t="n">
        <v>0.729481328245767</v>
      </c>
      <c r="E36" s="28" t="n">
        <v>82.3448632141738</v>
      </c>
      <c r="F36" s="28" t="n">
        <v>5.85086728831119</v>
      </c>
      <c r="G36" s="23" t="n">
        <v>44.8862263914047</v>
      </c>
      <c r="H36" s="23" t="n">
        <v>66.784967130017</v>
      </c>
      <c r="I36" s="23" t="n">
        <v>54.7514854057902</v>
      </c>
      <c r="J36" s="17" t="n">
        <v>8</v>
      </c>
      <c r="K36" s="20" t="n">
        <v>0.125719936506133</v>
      </c>
      <c r="L36" s="28" t="n">
        <v>-58.1883005170093</v>
      </c>
      <c r="M36" s="28" t="n">
        <v>-42.9515666379746</v>
      </c>
      <c r="N36" s="28" t="n">
        <v>-18.0987671478642</v>
      </c>
      <c r="O36" s="28" t="n">
        <v>-40.5475502352057</v>
      </c>
      <c r="P36" s="28" t="n">
        <v>53.1975858402949</v>
      </c>
      <c r="Q36" s="23" t="n">
        <v>3.25289920293453</v>
      </c>
      <c r="R36" s="20" t="n">
        <v>0.1196</v>
      </c>
      <c r="S36" s="20" t="n">
        <v>0.1838</v>
      </c>
      <c r="T36" s="20" t="n">
        <v>0.2614</v>
      </c>
      <c r="V36" s="50" t="n">
        <f aca="false">ABS(Forecast!J36-D36)</f>
        <v>0</v>
      </c>
      <c r="W36" s="50" t="n">
        <f aca="false">ABS(Pools!L36-E36)</f>
        <v>0</v>
      </c>
      <c r="X36" s="50" t="n">
        <f aca="false">ABS(Pools!R36-F36)</f>
        <v>0</v>
      </c>
      <c r="Y36" s="50" t="n">
        <f aca="false">IF(C36=1,ABS(Scorecard!AC36-G36),0)</f>
        <v>0</v>
      </c>
      <c r="Z36" s="50" t="n">
        <f aca="false">IF(C36=1,ABS(Scorecard!AQ36-H36),0)</f>
        <v>0</v>
      </c>
      <c r="AA36" s="50" t="n">
        <f aca="false">IF(C36=1,ABS(Scorecard!AR36-I36),0)</f>
        <v>0</v>
      </c>
      <c r="AB36" s="50" t="n">
        <f aca="false">IF(C36=1,ABS(Scorecard!AS36-J36),0)</f>
        <v>0</v>
      </c>
      <c r="AC36" s="50" t="n">
        <f aca="false">IF(C36=1,ABS(Scorecard!AT36-K36),0)</f>
        <v>0</v>
      </c>
    </row>
    <row r="37" customFormat="false" ht="15" hidden="false" customHeight="false" outlineLevel="0" collapsed="false">
      <c r="A37" s="55" t="s">
        <v>281</v>
      </c>
      <c r="B37" s="55" t="s">
        <v>282</v>
      </c>
      <c r="C37" s="17" t="n">
        <v>1</v>
      </c>
      <c r="D37" s="20" t="n">
        <v>0.859860660305404</v>
      </c>
      <c r="E37" s="28" t="n">
        <v>516.181818023834</v>
      </c>
      <c r="F37" s="28" t="n">
        <v>28.6306086474706</v>
      </c>
      <c r="G37" s="23" t="n">
        <v>47.4167662030097</v>
      </c>
      <c r="H37" s="23" t="n">
        <v>77.2681624560672</v>
      </c>
      <c r="I37" s="23" t="n">
        <v>60.5293845509395</v>
      </c>
      <c r="J37" s="17" t="n">
        <v>3</v>
      </c>
      <c r="K37" s="20" t="n">
        <v>0.1271710250055</v>
      </c>
      <c r="L37" s="28" t="n">
        <v>-96.1156554839647</v>
      </c>
      <c r="M37" s="28" t="n">
        <v>-29.9009595726038</v>
      </c>
      <c r="N37" s="28" t="n">
        <v>65.1927133094745</v>
      </c>
      <c r="O37" s="28" t="n">
        <v>-22.6812153299244</v>
      </c>
      <c r="P37" s="28" t="n">
        <v>53.8508926534455</v>
      </c>
      <c r="Q37" s="23" t="n">
        <v>1.3463574069654</v>
      </c>
      <c r="R37" s="20" t="n">
        <v>0.001</v>
      </c>
      <c r="S37" s="20" t="n">
        <v>0.0772</v>
      </c>
      <c r="T37" s="20" t="n">
        <v>0.2964</v>
      </c>
      <c r="V37" s="50" t="n">
        <f aca="false">ABS(Forecast!J37-D37)</f>
        <v>0</v>
      </c>
      <c r="W37" s="50" t="n">
        <f aca="false">ABS(Pools!L37-E37)</f>
        <v>0</v>
      </c>
      <c r="X37" s="50" t="n">
        <f aca="false">ABS(Pools!R37-F37)</f>
        <v>0</v>
      </c>
      <c r="Y37" s="50" t="n">
        <f aca="false">IF(C37=1,ABS(Scorecard!AC37-G37),0)</f>
        <v>0</v>
      </c>
      <c r="Z37" s="50" t="n">
        <f aca="false">IF(C37=1,ABS(Scorecard!AQ37-H37),0)</f>
        <v>0</v>
      </c>
      <c r="AA37" s="50" t="n">
        <f aca="false">IF(C37=1,ABS(Scorecard!AR37-I37),0)</f>
        <v>0</v>
      </c>
      <c r="AB37" s="50" t="n">
        <f aca="false">IF(C37=1,ABS(Scorecard!AS37-J37),0)</f>
        <v>0</v>
      </c>
      <c r="AC37" s="50" t="n">
        <f aca="false">IF(C37=1,ABS(Scorecard!AT37-K37),0)</f>
        <v>0</v>
      </c>
    </row>
    <row r="38" customFormat="false" ht="15" hidden="false" customHeight="false" outlineLevel="0" collapsed="false">
      <c r="A38" s="55" t="s">
        <v>283</v>
      </c>
      <c r="B38" s="55" t="s">
        <v>284</v>
      </c>
      <c r="C38" s="17" t="n">
        <v>1</v>
      </c>
      <c r="D38" s="20" t="n">
        <v>0.868418808991319</v>
      </c>
      <c r="E38" s="28" t="n">
        <v>258.313630610839</v>
      </c>
      <c r="F38" s="28" t="n">
        <v>14.0070298277552</v>
      </c>
      <c r="G38" s="23" t="n">
        <v>39.7987218082643</v>
      </c>
      <c r="H38" s="23" t="n">
        <v>75.5394558227829</v>
      </c>
      <c r="I38" s="23" t="n">
        <v>54.830409334954</v>
      </c>
      <c r="J38" s="17" t="n">
        <v>7</v>
      </c>
      <c r="K38" s="20" t="n">
        <v>0.133048648119351</v>
      </c>
      <c r="L38" s="28" t="n">
        <v>-72.2720232877506</v>
      </c>
      <c r="M38" s="28" t="n">
        <v>-41.3728913080036</v>
      </c>
      <c r="N38" s="28" t="n">
        <v>2.98939587326217</v>
      </c>
      <c r="O38" s="28" t="n">
        <v>-38.0071025076239</v>
      </c>
      <c r="P38" s="28" t="n">
        <v>50.3488354138336</v>
      </c>
      <c r="Q38" s="23" t="n">
        <v>2.02059551517249</v>
      </c>
      <c r="R38" s="20" t="n">
        <v>0.0032</v>
      </c>
      <c r="S38" s="20" t="n">
        <v>0.02</v>
      </c>
      <c r="T38" s="20" t="n">
        <v>0.0462</v>
      </c>
      <c r="V38" s="50" t="n">
        <f aca="false">ABS(Forecast!J38-D38)</f>
        <v>0</v>
      </c>
      <c r="W38" s="50" t="n">
        <f aca="false">ABS(Pools!L38-E38)</f>
        <v>0</v>
      </c>
      <c r="X38" s="50" t="n">
        <f aca="false">ABS(Pools!R38-F38)</f>
        <v>0</v>
      </c>
      <c r="Y38" s="50" t="n">
        <f aca="false">IF(C38=1,ABS(Scorecard!AC38-G38),0)</f>
        <v>0</v>
      </c>
      <c r="Z38" s="50" t="n">
        <f aca="false">IF(C38=1,ABS(Scorecard!AQ38-H38),0)</f>
        <v>0</v>
      </c>
      <c r="AA38" s="50" t="n">
        <f aca="false">IF(C38=1,ABS(Scorecard!AR38-I38),0)</f>
        <v>0</v>
      </c>
      <c r="AB38" s="50" t="n">
        <f aca="false">IF(C38=1,ABS(Scorecard!AS38-J38),0)</f>
        <v>0</v>
      </c>
      <c r="AC38" s="50" t="n">
        <f aca="false">IF(C38=1,ABS(Scorecard!AT38-K38),0)</f>
        <v>0</v>
      </c>
    </row>
    <row r="39" customFormat="false" ht="15" hidden="false" customHeight="false" outlineLevel="0" collapsed="false">
      <c r="A39" s="55" t="s">
        <v>285</v>
      </c>
      <c r="B39" s="55" t="s">
        <v>286</v>
      </c>
      <c r="C39" s="17" t="n">
        <v>1</v>
      </c>
      <c r="D39" s="20" t="n">
        <v>0.690836595808105</v>
      </c>
      <c r="E39" s="28" t="n">
        <v>159.415888565654</v>
      </c>
      <c r="F39" s="28" t="n">
        <v>11.9134231044646</v>
      </c>
      <c r="G39" s="23" t="n">
        <v>42.6405378027299</v>
      </c>
      <c r="H39" s="23" t="n">
        <v>35.8569248477788</v>
      </c>
      <c r="I39" s="23" t="n">
        <v>39.1018996912088</v>
      </c>
      <c r="J39" s="17" t="n">
        <v>24</v>
      </c>
      <c r="K39" s="20" t="n">
        <v>0.177661999564186</v>
      </c>
      <c r="L39" s="28" t="n">
        <v>-58.3450964425817</v>
      </c>
      <c r="M39" s="28" t="n">
        <v>-35.1971022236937</v>
      </c>
      <c r="N39" s="28" t="n">
        <v>4.26082259779093</v>
      </c>
      <c r="O39" s="28" t="n">
        <v>-31.1196195730446</v>
      </c>
      <c r="P39" s="28" t="n">
        <v>46.5734638289467</v>
      </c>
      <c r="Q39" s="23" t="n">
        <v>2.22416137557485</v>
      </c>
      <c r="R39" s="20" t="n">
        <v>0</v>
      </c>
      <c r="S39" s="20" t="n">
        <v>0</v>
      </c>
      <c r="T39" s="20" t="n">
        <v>0.004</v>
      </c>
      <c r="V39" s="50" t="n">
        <f aca="false">ABS(Forecast!J39-D39)</f>
        <v>0</v>
      </c>
      <c r="W39" s="50" t="n">
        <f aca="false">ABS(Pools!L39-E39)</f>
        <v>0</v>
      </c>
      <c r="X39" s="50" t="n">
        <f aca="false">ABS(Pools!R39-F39)</f>
        <v>0</v>
      </c>
      <c r="Y39" s="50" t="n">
        <f aca="false">IF(C39=1,ABS(Scorecard!AC39-G39),0)</f>
        <v>0</v>
      </c>
      <c r="Z39" s="50" t="n">
        <f aca="false">IF(C39=1,ABS(Scorecard!AQ39-H39),0)</f>
        <v>0</v>
      </c>
      <c r="AA39" s="50" t="n">
        <f aca="false">IF(C39=1,ABS(Scorecard!AR39-I39),0)</f>
        <v>0</v>
      </c>
      <c r="AB39" s="50" t="n">
        <f aca="false">IF(C39=1,ABS(Scorecard!AS39-J39),0)</f>
        <v>0</v>
      </c>
      <c r="AC39" s="50" t="n">
        <f aca="false">IF(C39=1,ABS(Scorecard!AT39-K39),0)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8B57"/>
    <pageSetUpPr fitToPage="false"/>
  </sheetPr>
  <dimension ref="A1:D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8"/>
    <col collapsed="false" customWidth="true" hidden="false" outlineLevel="0" max="2" min="2" style="0" width="16"/>
    <col collapsed="false" customWidth="true" hidden="false" outlineLevel="0" max="3" min="3" style="0" width="12"/>
    <col collapsed="false" customWidth="true" hidden="false" outlineLevel="0" max="4" min="4" style="0" width="20"/>
  </cols>
  <sheetData>
    <row r="1" customFormat="false" ht="17.35" hidden="false" customHeight="false" outlineLevel="0" collapsed="false">
      <c r="A1" s="1" t="s">
        <v>536</v>
      </c>
    </row>
    <row r="2" customFormat="false" ht="15" hidden="false" customHeight="false" outlineLevel="0" collapsed="false">
      <c r="A2" s="2" t="s">
        <v>537</v>
      </c>
    </row>
    <row r="4" customFormat="false" ht="42" hidden="false" customHeight="true" outlineLevel="0" collapsed="false">
      <c r="A4" s="9" t="s">
        <v>538</v>
      </c>
      <c r="B4" s="9" t="s">
        <v>539</v>
      </c>
      <c r="C4" s="9" t="s">
        <v>540</v>
      </c>
      <c r="D4" s="9" t="s">
        <v>541</v>
      </c>
    </row>
    <row r="5" customFormat="false" ht="15" hidden="false" customHeight="false" outlineLevel="0" collapsed="false">
      <c r="A5" s="5" t="s">
        <v>542</v>
      </c>
      <c r="B5" s="50" t="n">
        <f aca="false">Inputs!$D$51-1</f>
        <v>0</v>
      </c>
      <c r="C5" s="57" t="n">
        <v>1E-009</v>
      </c>
      <c r="D5" s="58" t="b">
        <f aca="false">ABS(B5)&lt;=C5</f>
        <v>1</v>
      </c>
    </row>
    <row r="6" customFormat="false" ht="15" hidden="false" customHeight="false" outlineLevel="0" collapsed="false">
      <c r="A6" s="5" t="s">
        <v>543</v>
      </c>
      <c r="B6" s="50" t="n">
        <f aca="false">Inputs!$D$58-1</f>
        <v>0</v>
      </c>
      <c r="C6" s="57" t="n">
        <v>1E-009</v>
      </c>
      <c r="D6" s="58" t="b">
        <f aca="false">ABS(B6)&lt;=C6</f>
        <v>1</v>
      </c>
    </row>
    <row r="7" customFormat="false" ht="15" hidden="false" customHeight="false" outlineLevel="0" collapsed="false">
      <c r="A7" s="5" t="s">
        <v>544</v>
      </c>
      <c r="B7" s="50" t="n">
        <f aca="false">SUM(PyRef!V6:V39)</f>
        <v>0</v>
      </c>
      <c r="C7" s="57" t="n">
        <v>1E-006</v>
      </c>
      <c r="D7" s="58" t="b">
        <f aca="false">ABS(B7)&lt;=C7</f>
        <v>1</v>
      </c>
    </row>
    <row r="8" customFormat="false" ht="15" hidden="false" customHeight="false" outlineLevel="0" collapsed="false">
      <c r="A8" s="5" t="s">
        <v>545</v>
      </c>
      <c r="B8" s="50" t="n">
        <f aca="false">SUM(PyRef!W6:W39)</f>
        <v>0</v>
      </c>
      <c r="C8" s="57" t="n">
        <v>0.001</v>
      </c>
      <c r="D8" s="58" t="b">
        <f aca="false">ABS(B8)&lt;=C8</f>
        <v>1</v>
      </c>
    </row>
    <row r="9" customFormat="false" ht="15" hidden="false" customHeight="false" outlineLevel="0" collapsed="false">
      <c r="A9" s="5" t="s">
        <v>546</v>
      </c>
      <c r="B9" s="50" t="n">
        <f aca="false">SUM(PyRef!X6:X39)</f>
        <v>0</v>
      </c>
      <c r="C9" s="57" t="n">
        <v>0.001</v>
      </c>
      <c r="D9" s="58" t="b">
        <f aca="false">ABS(B9)&lt;=C9</f>
        <v>1</v>
      </c>
    </row>
    <row r="10" customFormat="false" ht="15" hidden="false" customHeight="false" outlineLevel="0" collapsed="false">
      <c r="A10" s="5" t="s">
        <v>547</v>
      </c>
      <c r="B10" s="50" t="n">
        <f aca="false">SUM(PyRef!Y6:Y39)</f>
        <v>0</v>
      </c>
      <c r="C10" s="57" t="n">
        <v>1E-006</v>
      </c>
      <c r="D10" s="58" t="b">
        <f aca="false">ABS(B10)&lt;=C10</f>
        <v>1</v>
      </c>
    </row>
    <row r="11" customFormat="false" ht="15" hidden="false" customHeight="false" outlineLevel="0" collapsed="false">
      <c r="A11" s="5" t="s">
        <v>548</v>
      </c>
      <c r="B11" s="50" t="n">
        <f aca="false">SUM(PyRef!Z6:Z39)</f>
        <v>0</v>
      </c>
      <c r="C11" s="57" t="n">
        <v>1E-006</v>
      </c>
      <c r="D11" s="58" t="b">
        <f aca="false">ABS(B11)&lt;=C11</f>
        <v>1</v>
      </c>
    </row>
    <row r="12" customFormat="false" ht="15" hidden="false" customHeight="false" outlineLevel="0" collapsed="false">
      <c r="A12" s="5" t="s">
        <v>549</v>
      </c>
      <c r="B12" s="50" t="n">
        <f aca="false">SUM(PyRef!AA6:AA39)</f>
        <v>0</v>
      </c>
      <c r="C12" s="57" t="n">
        <v>1E-006</v>
      </c>
      <c r="D12" s="58" t="b">
        <f aca="false">ABS(B12)&lt;=C12</f>
        <v>1</v>
      </c>
    </row>
    <row r="13" customFormat="false" ht="15" hidden="false" customHeight="false" outlineLevel="0" collapsed="false">
      <c r="A13" s="5" t="s">
        <v>550</v>
      </c>
      <c r="B13" s="50" t="n">
        <f aca="false">SUM(PyRef!AB6:AB39)</f>
        <v>0</v>
      </c>
      <c r="C13" s="57" t="n">
        <v>0</v>
      </c>
      <c r="D13" s="58" t="b">
        <f aca="false">ABS(B13)&lt;=C13</f>
        <v>1</v>
      </c>
    </row>
    <row r="14" customFormat="false" ht="15" hidden="false" customHeight="false" outlineLevel="0" collapsed="false">
      <c r="A14" s="5" t="s">
        <v>551</v>
      </c>
      <c r="B14" s="50" t="n">
        <f aca="false">SUM(PyRef!AC6:AC39)</f>
        <v>0</v>
      </c>
      <c r="C14" s="57" t="n">
        <v>1E-009</v>
      </c>
      <c r="D14" s="58" t="b">
        <f aca="false">ABS(B14)&lt;=C14</f>
        <v>1</v>
      </c>
    </row>
    <row r="15" customFormat="false" ht="15" hidden="false" customHeight="false" outlineLevel="0" collapsed="false">
      <c r="A15" s="5" t="s">
        <v>552</v>
      </c>
      <c r="B15" s="50" t="n">
        <f aca="false">MAX(Scorecard!AS6:AS39)-SUM(Data!AB6:AB39)</f>
        <v>0</v>
      </c>
      <c r="C15" s="57" t="n">
        <v>0</v>
      </c>
      <c r="D15" s="58" t="b">
        <f aca="false">ABS(B15)&lt;=C15</f>
        <v>1</v>
      </c>
    </row>
    <row r="16" customFormat="false" ht="15" hidden="false" customHeight="false" outlineLevel="0" collapsed="false">
      <c r="A16" s="5" t="s">
        <v>553</v>
      </c>
      <c r="B16" s="50" t="n">
        <f aca="false">INDEX(Data!AB6:AB39,MATCH("KEN",Data!B6:B39,0))</f>
        <v>0</v>
      </c>
      <c r="C16" s="57" t="n">
        <v>0</v>
      </c>
      <c r="D16" s="58" t="b">
        <f aca="false">ABS(B16)&lt;=C16</f>
        <v>1</v>
      </c>
    </row>
    <row r="17" customFormat="false" ht="15" hidden="false" customHeight="false" outlineLevel="0" collapsed="false">
      <c r="A17" s="5" t="s">
        <v>554</v>
      </c>
      <c r="B17" s="50" t="n">
        <f aca="false">Cases!B56+Cases!B96+Cases!B136+Cases!B176+Cases!B216+Cases!B256+Cases!B296+Cases!B336+Cases!B376+Cases!B416+Cases!B456+Cases!B496+Cases!B536+Cases!B576+Cases!B616</f>
        <v>1.77635683940025E-014</v>
      </c>
      <c r="C17" s="57" t="n">
        <v>1E-006</v>
      </c>
      <c r="D17" s="58" t="b">
        <f aca="false">ABS(B17)&lt;=C17</f>
        <v>1</v>
      </c>
    </row>
    <row r="18" customFormat="false" ht="15" hidden="false" customHeight="false" outlineLevel="0" collapsed="false">
      <c r="A18" s="5" t="s">
        <v>555</v>
      </c>
      <c r="B18" s="50" t="n">
        <f aca="false">ABS(Cases!B48-INDEX(PyRef!$L$6:$L$39,MATCH(Cases!C19,PyRef!$B$6:$B$39,0)))+ABS(Cases!B88-INDEX(PyRef!$M$6:$M$39,MATCH(Cases!C59,PyRef!$B$6:$B$39,0)))+ABS(Cases!B128-INDEX(PyRef!$N$6:$N$39,MATCH(Cases!C99,PyRef!$B$6:$B$39,0)))+ABS(Cases!B168-INDEX(PyRef!$L$6:$L$39,MATCH(Cases!C139,PyRef!$B$6:$B$39,0)))+ABS(Cases!B208-INDEX(PyRef!$M$6:$M$39,MATCH(Cases!C179,PyRef!$B$6:$B$39,0)))+ABS(Cases!B248-INDEX(PyRef!$N$6:$N$39,MATCH(Cases!C219,PyRef!$B$6:$B$39,0)))+ABS(Cases!B288-INDEX(PyRef!$L$6:$L$39,MATCH(Cases!C259,PyRef!$B$6:$B$39,0)))+ABS(Cases!B328-INDEX(PyRef!$M$6:$M$39,MATCH(Cases!C299,PyRef!$B$6:$B$39,0)))+ABS(Cases!B368-INDEX(PyRef!$N$6:$N$39,MATCH(Cases!C339,PyRef!$B$6:$B$39,0)))+ABS(Cases!B408-INDEX(PyRef!$L$6:$L$39,MATCH(Cases!C379,PyRef!$B$6:$B$39,0)))+ABS(Cases!B448-INDEX(PyRef!$M$6:$M$39,MATCH(Cases!C419,PyRef!$B$6:$B$39,0)))+ABS(Cases!B488-INDEX(PyRef!$N$6:$N$39,MATCH(Cases!C459,PyRef!$B$6:$B$39,0)))+ABS(Cases!B528-INDEX(PyRef!$L$6:$L$39,MATCH(Cases!C499,PyRef!$B$6:$B$39,0)))+ABS(Cases!B568-INDEX(PyRef!$M$6:$M$39,MATCH(Cases!C539,PyRef!$B$6:$B$39,0)))+ABS(Cases!B608-INDEX(PyRef!$N$6:$N$39,MATCH(Cases!C579,PyRef!$B$6:$B$39,0)))</f>
        <v>0</v>
      </c>
      <c r="C18" s="57" t="n">
        <v>0.001</v>
      </c>
      <c r="D18" s="58" t="b">
        <f aca="false">ABS(B18)&lt;=C18</f>
        <v>1</v>
      </c>
    </row>
    <row r="19" customFormat="false" ht="15" hidden="false" customHeight="false" outlineLevel="0" collapsed="false">
      <c r="A19" s="5" t="s">
        <v>556</v>
      </c>
      <c r="B19" s="50" t="n">
        <f aca="false">IF(ISNUMBER(Cases!B95),ABS(Cases!B95-INDEX(PyRef!$Q$6:$Q$39,MATCH(Cases!C59,PyRef!$B$6:$B$39,0))),0)+IF(ISNUMBER(Cases!B215),ABS(Cases!B215-INDEX(PyRef!$Q$6:$Q$39,MATCH(Cases!C179,PyRef!$B$6:$B$39,0))),0)+IF(ISNUMBER(Cases!B335),ABS(Cases!B335-INDEX(PyRef!$Q$6:$Q$39,MATCH(Cases!C299,PyRef!$B$6:$B$39,0))),0)+IF(ISNUMBER(Cases!B455),ABS(Cases!B455-INDEX(PyRef!$Q$6:$Q$39,MATCH(Cases!C419,PyRef!$B$6:$B$39,0))),0)+IF(ISNUMBER(Cases!B575),ABS(Cases!B575-INDEX(PyRef!$Q$6:$Q$39,MATCH(Cases!C539,PyRef!$B$6:$B$39,0))),0)</f>
        <v>0</v>
      </c>
      <c r="C19" s="57" t="n">
        <v>0.0001</v>
      </c>
      <c r="D19" s="58" t="b">
        <f aca="false">ABS(B19)&lt;=C19</f>
        <v>1</v>
      </c>
    </row>
    <row r="20" customFormat="false" ht="15" hidden="false" customHeight="false" outlineLevel="0" collapsed="false">
      <c r="A20" s="5" t="s">
        <v>557</v>
      </c>
      <c r="B20" s="50" t="n">
        <f aca="false">ABS(Sensitivity!D9-Cases!B88)+ABS(Sensitivity!K9-Cases!B88)+ABS(Sensitivity!D19-Cases!B208)+ABS(Sensitivity!K19-Cases!B208)+ABS(Sensitivity!D29-Cases!B328)+ABS(Sensitivity!K29-Cases!B328)</f>
        <v>0</v>
      </c>
      <c r="C20" s="57" t="n">
        <v>1E-006</v>
      </c>
      <c r="D20" s="58" t="b">
        <f aca="false">ABS(B20)&lt;=C20</f>
        <v>1</v>
      </c>
    </row>
    <row r="21" customFormat="false" ht="15" hidden="false" customHeight="false" outlineLevel="0" collapsed="false">
      <c r="A21" s="5" t="s">
        <v>558</v>
      </c>
      <c r="B21" s="50" t="n">
        <f aca="false">SUMPRODUCT(--ISERROR(Data!A6:AB39))</f>
        <v>0</v>
      </c>
      <c r="C21" s="57" t="n">
        <v>0</v>
      </c>
      <c r="D21" s="58" t="b">
        <f aca="false">ABS(B21)&lt;=C21</f>
        <v>1</v>
      </c>
    </row>
    <row r="22" customFormat="false" ht="15" hidden="false" customHeight="false" outlineLevel="0" collapsed="false">
      <c r="A22" s="5" t="s">
        <v>559</v>
      </c>
      <c r="B22" s="50" t="n">
        <f aca="false">SUMPRODUCT(--ISERROR(Forecast!A6:Q39))</f>
        <v>0</v>
      </c>
      <c r="C22" s="57" t="n">
        <v>0</v>
      </c>
      <c r="D22" s="58" t="b">
        <f aca="false">ABS(B22)&lt;=C22</f>
        <v>1</v>
      </c>
    </row>
    <row r="23" customFormat="false" ht="15" hidden="false" customHeight="false" outlineLevel="0" collapsed="false">
      <c r="A23" s="5" t="s">
        <v>560</v>
      </c>
      <c r="B23" s="50" t="n">
        <f aca="false">SUMPRODUCT(--ISERROR(Pools!A6:V39))</f>
        <v>0</v>
      </c>
      <c r="C23" s="57" t="n">
        <v>0</v>
      </c>
      <c r="D23" s="58" t="b">
        <f aca="false">ABS(B23)&lt;=C23</f>
        <v>1</v>
      </c>
    </row>
    <row r="24" customFormat="false" ht="15" hidden="false" customHeight="false" outlineLevel="0" collapsed="false">
      <c r="A24" s="5" t="s">
        <v>561</v>
      </c>
      <c r="B24" s="50" t="n">
        <f aca="false">SUMPRODUCT(--ISERROR(Scorecard!A6:AU39))</f>
        <v>0</v>
      </c>
      <c r="C24" s="57" t="n">
        <v>0</v>
      </c>
      <c r="D24" s="58" t="b">
        <f aca="false">ABS(B24)&lt;=C24</f>
        <v>1</v>
      </c>
    </row>
    <row r="25" customFormat="false" ht="15" hidden="false" customHeight="false" outlineLevel="0" collapsed="false">
      <c r="A25" s="5" t="s">
        <v>562</v>
      </c>
      <c r="B25" s="50" t="n">
        <f aca="false">SUMPRODUCT(--ISERROR(Cases!A5:P618))</f>
        <v>0</v>
      </c>
      <c r="C25" s="57" t="n">
        <v>0</v>
      </c>
      <c r="D25" s="58" t="b">
        <f aca="false">ABS(B25)&lt;=C25</f>
        <v>1</v>
      </c>
    </row>
    <row r="26" customFormat="false" ht="15" hidden="false" customHeight="false" outlineLevel="0" collapsed="false">
      <c r="A26" s="5" t="s">
        <v>563</v>
      </c>
      <c r="B26" s="50" t="n">
        <f aca="false">SUMPRODUCT(--ISERROR(Sensitivity!A4:M40))</f>
        <v>0</v>
      </c>
      <c r="C26" s="57" t="n">
        <v>0</v>
      </c>
      <c r="D26" s="58" t="b">
        <f aca="false">ABS(B26)&lt;=C26</f>
        <v>1</v>
      </c>
    </row>
    <row r="27" customFormat="false" ht="15" hidden="false" customHeight="false" outlineLevel="0" collapsed="false">
      <c r="A27" s="5" t="s">
        <v>564</v>
      </c>
      <c r="B27" s="50" t="n">
        <f aca="false">SUMPRODUCT(--ISERROR(Summary!A4:M60))</f>
        <v>0</v>
      </c>
      <c r="C27" s="57" t="n">
        <v>0</v>
      </c>
      <c r="D27" s="58" t="b">
        <f aca="false">ABS(B27)&lt;=C27</f>
        <v>1</v>
      </c>
    </row>
    <row r="29" customFormat="false" ht="15" hidden="false" customHeight="false" outlineLevel="0" collapsed="false">
      <c r="A29" s="7" t="s">
        <v>565</v>
      </c>
      <c r="D29" s="8" t="str">
        <f aca="false">IF(COUNTIF(D5:D27,TRUE())=23,"ALL CHECKS PASS","CHECK FAILURES")</f>
        <v>ALL CHECKS PASS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2026-10-20T14:02:47Z</dcterms:created>
  <dc:creator>openpyxl</dc:creator>
  <dc:description/>
  <dc:language>en-US</dc:language>
  <cp:lastModifiedBy/>
  <dcterms:modified xsi:type="dcterms:W3CDTF">2026-10-20T14:02:48Z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